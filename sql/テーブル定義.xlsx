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codeName="ThisWorkbook"/>
  <bookViews>
    <workbookView xWindow="5445" yWindow="2100" windowWidth="21525" windowHeight="13320" activeTab="2"/>
  </bookViews>
  <sheets>
    <sheet name="表紙 " sheetId="6" r:id="rId1"/>
    <sheet name="改版履歴" sheetId="3" r:id="rId2"/>
    <sheet name="テーブル定義一覧" sheetId="7" r:id="rId3"/>
    <sheet name="銘柄基本情報" sheetId="2" r:id="rId4"/>
    <sheet name="上場状況" sheetId="5" r:id="rId5"/>
  </sheets>
  <externalReferences>
    <externalReference r:id="rId6"/>
    <externalReference r:id="rId7"/>
    <externalReference r:id="rId8"/>
  </externalReferences>
  <definedNames>
    <definedName name="___b1" localSheetId="2" hidden="1">{"'メニュー'!$B$2:$E$19"}</definedName>
    <definedName name="___b1" hidden="1">{"'メニュー'!$B$2:$E$19"}</definedName>
    <definedName name="_b1" localSheetId="2" hidden="1">{"'メニュー'!$B$2:$E$19"}</definedName>
    <definedName name="_b1" hidden="1">{"'メニュー'!$B$2:$E$19"}</definedName>
    <definedName name="_Fill" hidden="1">#REF!</definedName>
    <definedName name="_xlnm._FilterDatabase" localSheetId="2" hidden="1">テーブル定義一覧!$A$4:$I$9</definedName>
    <definedName name="_xlnm._FilterDatabase" localSheetId="3" hidden="1">銘柄基本情報!$A$5:$AB$54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egression_X" localSheetId="0" hidden="1">#REF!</definedName>
    <definedName name="_Regression_X" hidden="1">#N/A</definedName>
    <definedName name="_Sort" hidden="1">#REF!</definedName>
    <definedName name="a" hidden="1">#REF!</definedName>
    <definedName name="AA" hidden="1">#REF!</definedName>
    <definedName name="aaa" localSheetId="0">#REF!</definedName>
    <definedName name="AAA" hidden="1">#REF!</definedName>
    <definedName name="AA列">#REF!</definedName>
    <definedName name="AB列">#REF!</definedName>
    <definedName name="AC列">#REF!</definedName>
    <definedName name="bbb">#REF!</definedName>
    <definedName name="B列">#REF!</definedName>
    <definedName name="check_PartitonKey_元帳断面">[1]DataStageチェックリスト!#REF!</definedName>
    <definedName name="check_管理表示項目_カラム名_Bnnn">[1]DataStageチェックリスト!#REF!</definedName>
    <definedName name="check_第2管理表示項目_カラム名_Bnnn">[1]DataStageチェックリスト!#REF!</definedName>
    <definedName name="checkColumnsCount">[1]DataStageチェックリスト!#REF!</definedName>
    <definedName name="checkContextHead">[1]DataStageチェックリスト!$H$7</definedName>
    <definedName name="checkDataType_BIT_CHAR">[1]DataStageチェックリスト!#REF!</definedName>
    <definedName name="checkDataType_CH_CHAR">[1]DataStageチェックリスト!#REF!</definedName>
    <definedName name="checkDataType_FB15_SMALLINT">[1]DataStageチェックリスト!#REF!</definedName>
    <definedName name="checkDataType_FB31_INT">[1]DataStageチェックリスト!#REF!</definedName>
    <definedName name="checkDataType_FD_DECIMAL">[1]DataStageチェックリスト!#REF!</definedName>
    <definedName name="checkDefinedItemName">[1]DataStageチェックリスト!#REF!</definedName>
    <definedName name="checkFont">[1]DataStageチェックリスト!#REF!</definedName>
    <definedName name="checkNotNull_PK項目">[1]DataStageチェックリスト!#REF!</definedName>
    <definedName name="checkODS_Filename">[1]DataStageチェックリスト!#REF!</definedName>
    <definedName name="checkPrintArea">[1]DataStageチェックリスト!#REF!</definedName>
    <definedName name="checkPrintAreaLastSheetRow">[1]DataStageチェックリスト!#REF!</definedName>
    <definedName name="checkRecordSize">[1]DataStageチェックリスト!#REF!</definedName>
    <definedName name="checkResultHead">[1]DataStageチェックリスト!$K$7</definedName>
    <definedName name="checkカラム名重複">[1]DataStageチェックリスト!#REF!</definedName>
    <definedName name="check全角カタカナ">[1]DataStageチェックリスト!#REF!</definedName>
    <definedName name="check半角英数字">[1]DataStageチェックリスト!#REF!</definedName>
    <definedName name="check番号重複">[1]DataStageチェックリスト!#REF!</definedName>
    <definedName name="check連続番号">[1]DataStageチェックリスト!#REF!</definedName>
    <definedName name="C列">#REF!</definedName>
    <definedName name="D列">#REF!</definedName>
    <definedName name="E列">#REF!</definedName>
    <definedName name="F列">#REF!</definedName>
    <definedName name="G列">#REF!</definedName>
    <definedName name="HTML1_1" hidden="1">"[FOLLOW.XLS]場所マスタ!$A$1:$C$33"</definedName>
    <definedName name="HTML1_10" hidden="1">""</definedName>
    <definedName name="HTML1_11" hidden="1">1</definedName>
    <definedName name="HTML1_12" hidden="1">"F:\COMMON\SIZAI\KAGAKU\HTML\KAIHATU\follow.htm"</definedName>
    <definedName name="HTML1_2" hidden="1">1</definedName>
    <definedName name="HTML1_3" hidden="1">"回答状況"</definedName>
    <definedName name="HTML1_4" hidden="1">"回答状況"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Count" hidden="1">1</definedName>
    <definedName name="H列">#REF!</definedName>
    <definedName name="isNotBlank更新条件">[1]DataStageチェックリスト!#REF!</definedName>
    <definedName name="I列">#REF!</definedName>
    <definedName name="J列">#REF!</definedName>
    <definedName name="matchColName_PK_for_XUH">[1]DataStageチェックリスト!#REF!</definedName>
    <definedName name="matchColName_単純移送項目">[1]DataStageチェックリスト!#REF!</definedName>
    <definedName name="matchItemName_単純移送項目">[1]DataStageチェックリスト!#REF!</definedName>
    <definedName name="_xlnm.Print_Area" localSheetId="0">'表紙 '!$A$1:$Q$38</definedName>
    <definedName name="_xlnm.Print_Area">#REF!</definedName>
    <definedName name="_xlnm.Print_Titles" localSheetId="1">改版履歴!$1:$3</definedName>
    <definedName name="_xlnm.Print_Titles" localSheetId="4">上場状況!$1:$5</definedName>
    <definedName name="_xlnm.Print_Titles" localSheetId="3">銘柄基本情報!$1:$5</definedName>
    <definedName name="_xlnm.Print_Titles">#N/A</definedName>
    <definedName name="qqqqq" hidden="1">#REF!</definedName>
    <definedName name="result">[1]DataStageチェックリスト!$K$7</definedName>
    <definedName name="SA" hidden="1">#N/A</definedName>
    <definedName name="TableList">[2]テーブル一覧!$G:$U</definedName>
    <definedName name="T列">#REF!</definedName>
    <definedName name="U列">#REF!</definedName>
    <definedName name="V列">#REF!</definedName>
    <definedName name="W列">#REF!</definedName>
    <definedName name="X列">#REF!</definedName>
    <definedName name="Y列">#REF!</definedName>
    <definedName name="Z_FA18C3CF_8D45_4C15_B4F1_8B134D2E0C65_.wvu.PrintArea" localSheetId="0" hidden="1">'表紙 '!$A$1:$Q$38</definedName>
    <definedName name="Z列">#REF!</definedName>
    <definedName name="あ" localSheetId="2" hidden="1">{"'メニュー'!$B$2:$E$19"}</definedName>
    <definedName name="あ" hidden="1">{"'メニュー'!$B$2:$E$19"}</definedName>
    <definedName name="あああ" hidden="1">#REF!</definedName>
    <definedName name="あああああ" hidden="1">#REF!</definedName>
    <definedName name="えええええ" hidden="1">#REF!</definedName>
    <definedName name="おおおおお" hidden="1">#REF!</definedName>
    <definedName name="オンライン下り">#REF!</definedName>
    <definedName name="オンライン上り">#REF!</definedName>
    <definedName name="カラー設定">#REF!</definedName>
    <definedName name="キーレイアウト制御">#REF!</definedName>
    <definedName name="サンプル" localSheetId="0" hidden="1">#REF!</definedName>
    <definedName name="サンプル" hidden="1">#REF!</definedName>
    <definedName name="しゃいういｓｓ" hidden="1">#REF!</definedName>
    <definedName name="タスクドキュメント１" localSheetId="0" hidden="1">#REF!</definedName>
    <definedName name="タスクドキュメント１" hidden="1">#N/A</definedName>
    <definedName name="チェック_担当者名">#REF!</definedName>
    <definedName name="チェック結果_確認者名">#REF!</definedName>
    <definedName name="チェック結果出力ディレクトリ">[1]DataStageチェックリスト!#REF!</definedName>
    <definedName name="チェック結果出力ファイル名">[1]DataStageチェックリスト!#REF!</definedName>
    <definedName name="ツールバー">#REF!</definedName>
    <definedName name="テーブル名_日本語">[1]DataStageチェックリスト!#REF!</definedName>
    <definedName name="デバイス制御">#REF!</definedName>
    <definedName name="ドキュメント">#REF!</definedName>
    <definedName name="トレイ選択">#REF!</definedName>
    <definedName name="ひな形Ver">[1]DataStageチェックリスト!#REF!</definedName>
    <definedName name="ファイル名一覧">#REF!</definedName>
    <definedName name="フォーム">#REF!</definedName>
    <definedName name="フォント">#REF!</definedName>
    <definedName name="マクロVer">[1]DataStageチェックリスト!#REF!</definedName>
    <definedName name="マクロ部品">#REF!</definedName>
    <definedName name="メッセージ">#REF!</definedName>
    <definedName name="ローカル取引">#REF!</definedName>
    <definedName name="外部サービス制御">#REF!</definedName>
    <definedName name="確認者">[1]DataStageチェックリスト!#REF!</definedName>
    <definedName name="関連表" localSheetId="0" hidden="1">#REF!</definedName>
    <definedName name="関連表" hidden="1">#N/A</definedName>
    <definedName name="基本部品">#REF!</definedName>
    <definedName name="起動終了">#REF!</definedName>
    <definedName name="共通部品">#REF!</definedName>
    <definedName name="計上法">#REF!</definedName>
    <definedName name="更新条件_テーブルレイアウト_項番">#REF!</definedName>
    <definedName name="行削除">#REF!</definedName>
    <definedName name="項目チェック">#REF!</definedName>
    <definedName name="作業中" hidden="1">#REF!</definedName>
    <definedName name="取引共通処理">#REF!</definedName>
    <definedName name="取引制御">#REF!</definedName>
    <definedName name="縮小モード">#REF!</definedName>
    <definedName name="選択">#REF!</definedName>
    <definedName name="送受信制御">#REF!</definedName>
    <definedName name="担当者">[1]DataStageチェックリスト!#REF!</definedName>
    <definedName name="端末ファイル">#REF!</definedName>
    <definedName name="端末ローカル処理">#REF!</definedName>
    <definedName name="端末管理">#REF!</definedName>
    <definedName name="端末共通アクション">#REF!</definedName>
    <definedName name="端末情報">#REF!</definedName>
    <definedName name="通番管理">#REF!</definedName>
    <definedName name="入力ログレイアウト名">[1]DataStageチェックリスト!#REF!</definedName>
    <definedName name="表紙" hidden="1">#REF!</definedName>
    <definedName name="表紙１" hidden="1">#REF!</definedName>
    <definedName name="複数画面制御">#REF!</definedName>
    <definedName name="文字揃え">#REF!</definedName>
    <definedName name="片面両面">#REF!</definedName>
    <definedName name="用紙サイズ">#REF!</definedName>
    <definedName name="用紙サイズ単位">#REF!</definedName>
    <definedName name="用紙方向">#REF!</definedName>
    <definedName name="論理設計成果物関連図">#REF!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5" i="2" l="1"/>
  <c r="AN26" i="2"/>
  <c r="AJ25" i="2"/>
  <c r="AJ26" i="2"/>
  <c r="AE24" i="2"/>
  <c r="AE25" i="2"/>
  <c r="AE26" i="2"/>
  <c r="AN37" i="2"/>
  <c r="AN38" i="2"/>
  <c r="AN39" i="2"/>
  <c r="AJ35" i="2"/>
  <c r="AJ36" i="2"/>
  <c r="AJ37" i="2"/>
  <c r="AJ38" i="2"/>
  <c r="AJ39" i="2"/>
  <c r="AJ40" i="2"/>
  <c r="AE36" i="2"/>
  <c r="AE37" i="2"/>
  <c r="AE38" i="2"/>
  <c r="AE39" i="2"/>
  <c r="AE40" i="2"/>
  <c r="AE41" i="2"/>
  <c r="AN18" i="2"/>
  <c r="AN23" i="2"/>
  <c r="AN24" i="2"/>
  <c r="AN27" i="2"/>
  <c r="AN28" i="2"/>
  <c r="AN29" i="2"/>
  <c r="AN30" i="2"/>
  <c r="AN31" i="2"/>
  <c r="AN32" i="2"/>
  <c r="AN33" i="2"/>
  <c r="AN34" i="2"/>
  <c r="AN21" i="2"/>
  <c r="AN46" i="2"/>
  <c r="AN47" i="2"/>
  <c r="AN48" i="2"/>
  <c r="AN49" i="2"/>
  <c r="AN50" i="2"/>
  <c r="AN51" i="2"/>
  <c r="AN52" i="2"/>
  <c r="AN35" i="2"/>
  <c r="AN36" i="2"/>
  <c r="AN40" i="2"/>
  <c r="AN41" i="2"/>
  <c r="AN42" i="2"/>
  <c r="AN43" i="2"/>
  <c r="AN44" i="2"/>
  <c r="AN45" i="2"/>
  <c r="AN53" i="2"/>
  <c r="AN54" i="2"/>
  <c r="AN14" i="2"/>
  <c r="AN17" i="2"/>
  <c r="AN22" i="2"/>
  <c r="AN16" i="2"/>
  <c r="AN20" i="2"/>
  <c r="AN19" i="2"/>
  <c r="AJ22" i="2"/>
  <c r="AE22" i="2"/>
  <c r="AJ17" i="2"/>
  <c r="AJ8" i="2"/>
  <c r="AJ9" i="2"/>
  <c r="AJ10" i="2"/>
  <c r="AJ11" i="2"/>
  <c r="AJ12" i="2"/>
  <c r="AJ13" i="2"/>
  <c r="AJ15" i="2"/>
  <c r="AJ14" i="2"/>
  <c r="AE17" i="2"/>
  <c r="AD5" i="2"/>
  <c r="AD5" i="5"/>
  <c r="AD15" i="5"/>
  <c r="AE14" i="5"/>
  <c r="AN13" i="5"/>
  <c r="AJ13" i="5"/>
  <c r="AE13" i="5"/>
  <c r="AN12" i="5"/>
  <c r="AJ12" i="5"/>
  <c r="AE12" i="5"/>
  <c r="AN11" i="5"/>
  <c r="AJ11" i="5"/>
  <c r="AE11" i="5"/>
  <c r="AN10" i="5"/>
  <c r="AJ10" i="5"/>
  <c r="AE10" i="5"/>
  <c r="AN9" i="5"/>
  <c r="AJ9" i="5"/>
  <c r="AE9" i="5"/>
  <c r="AN8" i="5"/>
  <c r="AJ8" i="5"/>
  <c r="AE8" i="5"/>
  <c r="AN7" i="5"/>
  <c r="AJ7" i="5"/>
  <c r="AE7" i="5"/>
  <c r="AD6" i="5"/>
  <c r="AE55" i="2"/>
  <c r="AN8" i="2"/>
  <c r="AN9" i="2"/>
  <c r="AN10" i="2"/>
  <c r="AN11" i="2"/>
  <c r="AN12" i="2"/>
  <c r="AN13" i="2"/>
  <c r="AN15" i="2"/>
  <c r="AN7" i="2"/>
  <c r="AJ23" i="2"/>
  <c r="AJ24" i="2"/>
  <c r="AJ27" i="2"/>
  <c r="AJ28" i="2"/>
  <c r="AJ29" i="2"/>
  <c r="AJ30" i="2"/>
  <c r="AJ31" i="2"/>
  <c r="AJ32" i="2"/>
  <c r="AJ33" i="2"/>
  <c r="AJ34" i="2"/>
  <c r="AJ18" i="2"/>
  <c r="AJ20" i="2"/>
  <c r="AJ19" i="2"/>
  <c r="AJ16" i="2"/>
  <c r="AJ21" i="2"/>
  <c r="AJ46" i="2"/>
  <c r="AJ47" i="2"/>
  <c r="AJ48" i="2"/>
  <c r="AJ49" i="2"/>
  <c r="AJ50" i="2"/>
  <c r="AJ51" i="2"/>
  <c r="AJ52" i="2"/>
  <c r="AJ53" i="2"/>
  <c r="AJ41" i="2"/>
  <c r="AJ42" i="2"/>
  <c r="AJ43" i="2"/>
  <c r="AJ44" i="2"/>
  <c r="AJ45" i="2"/>
  <c r="AJ54" i="2"/>
  <c r="AJ7" i="2"/>
  <c r="AD56" i="2" l="1"/>
  <c r="AE35" i="2"/>
  <c r="AE8" i="2"/>
  <c r="AE9" i="2"/>
  <c r="AE10" i="2"/>
  <c r="AE11" i="2"/>
  <c r="AE12" i="2"/>
  <c r="AE13" i="2"/>
  <c r="AE14" i="2"/>
  <c r="AE23" i="2"/>
  <c r="AE27" i="2"/>
  <c r="AE28" i="2"/>
  <c r="AE29" i="2"/>
  <c r="AE30" i="2"/>
  <c r="AE31" i="2"/>
  <c r="AE32" i="2"/>
  <c r="AE33" i="2"/>
  <c r="AE34" i="2"/>
  <c r="AE15" i="2"/>
  <c r="AE18" i="2"/>
  <c r="AE20" i="2"/>
  <c r="AE19" i="2"/>
  <c r="AE16" i="2"/>
  <c r="AE21" i="2"/>
  <c r="AE46" i="2"/>
  <c r="AE47" i="2"/>
  <c r="AE48" i="2"/>
  <c r="AE49" i="2"/>
  <c r="AE50" i="2"/>
  <c r="AE51" i="2"/>
  <c r="AE52" i="2"/>
  <c r="AE53" i="2"/>
  <c r="AE42" i="2"/>
  <c r="AE43" i="2"/>
  <c r="AE44" i="2"/>
  <c r="AE45" i="2"/>
  <c r="AE54" i="2"/>
  <c r="AE7" i="2"/>
  <c r="AD6" i="2"/>
</calcChain>
</file>

<file path=xl/sharedStrings.xml><?xml version="1.0" encoding="utf-8"?>
<sst xmlns="http://schemas.openxmlformats.org/spreadsheetml/2006/main" count="276" uniqueCount="175">
  <si>
    <t>symbol</t>
  </si>
  <si>
    <t>grade_rating</t>
  </si>
  <si>
    <t>name</t>
  </si>
  <si>
    <t>exchange</t>
  </si>
  <si>
    <t>established_date</t>
  </si>
  <si>
    <t>sector</t>
  </si>
  <si>
    <t>industry</t>
  </si>
  <si>
    <t>index_adoption</t>
  </si>
  <si>
    <t>pbr</t>
  </si>
  <si>
    <t>eps</t>
  </si>
  <si>
    <t>roa</t>
  </si>
  <si>
    <t>roe</t>
  </si>
  <si>
    <t>debt_equity_ratio</t>
  </si>
  <si>
    <t>own_capital_ratio</t>
  </si>
  <si>
    <t>enterprise_value</t>
  </si>
  <si>
    <t>ex_dividend_date</t>
  </si>
  <si>
    <t>year_high</t>
  </si>
  <si>
    <t>year_low</t>
  </si>
  <si>
    <t>amount_of_sales</t>
  </si>
  <si>
    <t>net_income</t>
  </si>
  <si>
    <t>sales_cf</t>
  </si>
  <si>
    <t>total_assets</t>
  </si>
  <si>
    <t>cash_and_deposits</t>
  </si>
  <si>
    <t>total_capital</t>
  </si>
  <si>
    <t>average_annual_income</t>
  </si>
  <si>
    <t>business_scope</t>
  </si>
  <si>
    <t>product_range</t>
  </si>
  <si>
    <t>representative</t>
  </si>
  <si>
    <t>capital_stock</t>
  </si>
  <si>
    <t>address</t>
  </si>
  <si>
    <t>tel</t>
  </si>
  <si>
    <t>per_unit</t>
  </si>
  <si>
    <t>url</t>
  </si>
  <si>
    <t>update_date</t>
  </si>
  <si>
    <t>テーブル定義</t>
    <rPh sb="4" eb="6">
      <t>テイギ</t>
    </rPh>
    <phoneticPr fontId="4"/>
  </si>
  <si>
    <t>PRJ-CD</t>
    <phoneticPr fontId="4"/>
  </si>
  <si>
    <t>PRJ名</t>
    <rPh sb="3" eb="4">
      <t>メイ</t>
    </rPh>
    <phoneticPr fontId="4"/>
  </si>
  <si>
    <t>1.00</t>
    <phoneticPr fontId="4"/>
  </si>
  <si>
    <t>テーブル名</t>
    <rPh sb="4" eb="5">
      <t>メイ</t>
    </rPh>
    <phoneticPr fontId="4"/>
  </si>
  <si>
    <t>作成</t>
    <phoneticPr fontId="4"/>
  </si>
  <si>
    <t>テーブル物理名</t>
    <rPh sb="4" eb="6">
      <t>ブツリ</t>
    </rPh>
    <rPh sb="6" eb="7">
      <t>メイ</t>
    </rPh>
    <phoneticPr fontId="4"/>
  </si>
  <si>
    <t>更新</t>
    <rPh sb="0" eb="2">
      <t>コウシン</t>
    </rPh>
    <phoneticPr fontId="4"/>
  </si>
  <si>
    <t>No</t>
    <phoneticPr fontId="4"/>
  </si>
  <si>
    <t>KEY</t>
    <phoneticPr fontId="4"/>
  </si>
  <si>
    <t>NULL</t>
    <phoneticPr fontId="4"/>
  </si>
  <si>
    <t>精度</t>
    <rPh sb="0" eb="2">
      <t>セイド</t>
    </rPh>
    <phoneticPr fontId="4"/>
  </si>
  <si>
    <t>内容</t>
    <rPh sb="0" eb="2">
      <t>ナイヨウ</t>
    </rPh>
    <phoneticPr fontId="4"/>
  </si>
  <si>
    <t>改版履歴</t>
    <rPh sb="0" eb="2">
      <t>カイハン</t>
    </rPh>
    <rPh sb="2" eb="4">
      <t>リレキ</t>
    </rPh>
    <phoneticPr fontId="4"/>
  </si>
  <si>
    <t>版数</t>
    <rPh sb="0" eb="2">
      <t>ハンスウ</t>
    </rPh>
    <phoneticPr fontId="4"/>
  </si>
  <si>
    <t>改版日</t>
    <rPh sb="0" eb="2">
      <t>カイハン</t>
    </rPh>
    <rPh sb="2" eb="3">
      <t>ビ</t>
    </rPh>
    <phoneticPr fontId="4"/>
  </si>
  <si>
    <t>改版者</t>
    <rPh sb="0" eb="2">
      <t>カイハン</t>
    </rPh>
    <rPh sb="2" eb="3">
      <t>シャ</t>
    </rPh>
    <phoneticPr fontId="4"/>
  </si>
  <si>
    <t>改版内容</t>
    <rPh sb="0" eb="2">
      <t>カイハン</t>
    </rPh>
    <rPh sb="2" eb="4">
      <t>ナイヨウ</t>
    </rPh>
    <phoneticPr fontId="4"/>
  </si>
  <si>
    <t>案件情報</t>
    <rPh sb="0" eb="2">
      <t>アンケン</t>
    </rPh>
    <rPh sb="2" eb="4">
      <t>ジョウホウ</t>
    </rPh>
    <phoneticPr fontId="4"/>
  </si>
  <si>
    <t>Ver</t>
    <phoneticPr fontId="4"/>
  </si>
  <si>
    <t>銘柄基本情報</t>
    <rPh sb="0" eb="2">
      <t>メイガラ</t>
    </rPh>
    <rPh sb="2" eb="4">
      <t>キホン</t>
    </rPh>
    <rPh sb="4" eb="6">
      <t>ジョウホウ</t>
    </rPh>
    <phoneticPr fontId="4"/>
  </si>
  <si>
    <t>2024/11/8</t>
    <phoneticPr fontId="4"/>
  </si>
  <si>
    <t>コード</t>
  </si>
  <si>
    <t>銘柄名</t>
  </si>
  <si>
    <t>市場区分</t>
  </si>
  <si>
    <t>上場年月日</t>
  </si>
  <si>
    <t>東証業種名 業種</t>
  </si>
  <si>
    <t>日経業種分類 業界</t>
  </si>
  <si>
    <t>指数採用</t>
  </si>
  <si>
    <t>配当利回り</t>
  </si>
  <si>
    <t>自己資本比率</t>
  </si>
  <si>
    <t>時価総額</t>
  </si>
  <si>
    <t>企業価値</t>
  </si>
  <si>
    <t>信用倍率</t>
  </si>
  <si>
    <t>除息日</t>
  </si>
  <si>
    <t>1株純資産</t>
  </si>
  <si>
    <t>年初来株価上昇率</t>
  </si>
  <si>
    <t>売上高</t>
  </si>
  <si>
    <t>当期純利益</t>
  </si>
  <si>
    <t>営業C/F</t>
  </si>
  <si>
    <t>総資産</t>
  </si>
  <si>
    <t>現預金等</t>
  </si>
  <si>
    <t>資本合計</t>
  </si>
  <si>
    <t>平均年収</t>
  </si>
  <si>
    <t>事業内容</t>
  </si>
  <si>
    <t>取扱い商品</t>
  </si>
  <si>
    <t>代表者</t>
  </si>
  <si>
    <t>資本金</t>
  </si>
  <si>
    <t>本社住所</t>
  </si>
  <si>
    <t>電話番号</t>
  </si>
  <si>
    <t>単元株数</t>
  </si>
  <si>
    <t>URL</t>
  </si>
  <si>
    <t>更新日</t>
  </si>
  <si>
    <t>○</t>
  </si>
  <si>
    <t>陳</t>
    <rPh sb="0" eb="1">
      <t>チン</t>
    </rPh>
    <phoneticPr fontId="4"/>
  </si>
  <si>
    <t>物理名</t>
    <phoneticPr fontId="4"/>
  </si>
  <si>
    <t>論理名</t>
    <phoneticPr fontId="4"/>
  </si>
  <si>
    <t>項目名</t>
    <phoneticPr fontId="4"/>
  </si>
  <si>
    <t>属性</t>
    <phoneticPr fontId="4"/>
  </si>
  <si>
    <t>データ型</t>
    <phoneticPr fontId="4"/>
  </si>
  <si>
    <t>桁数</t>
    <phoneticPr fontId="4"/>
  </si>
  <si>
    <t>初期値</t>
    <phoneticPr fontId="4"/>
  </si>
  <si>
    <t>○</t>
    <phoneticPr fontId="4"/>
  </si>
  <si>
    <t>assetType</t>
  </si>
  <si>
    <t>ipoDate</t>
  </si>
  <si>
    <t>status</t>
  </si>
  <si>
    <t>上場状況</t>
    <phoneticPr fontId="1"/>
  </si>
  <si>
    <t>listing_date</t>
    <phoneticPr fontId="4"/>
  </si>
  <si>
    <t>銘柄基本情報</t>
    <phoneticPr fontId="4"/>
  </si>
  <si>
    <t>状態</t>
    <rPh sb="0" eb="2">
      <t>ジョウタイ</t>
    </rPh>
    <phoneticPr fontId="1"/>
  </si>
  <si>
    <t>Active　　Inactive</t>
    <phoneticPr fontId="1"/>
  </si>
  <si>
    <t>yyyy/MM/dd</t>
  </si>
  <si>
    <t>delistingDate</t>
    <phoneticPr fontId="1"/>
  </si>
  <si>
    <t>上場年月日</t>
    <phoneticPr fontId="1"/>
  </si>
  <si>
    <t>上場廃止日</t>
    <rPh sb="0" eb="2">
      <t>ジョウジョウ</t>
    </rPh>
    <rPh sb="2" eb="4">
      <t>ハイシ</t>
    </rPh>
    <rPh sb="4" eb="5">
      <t>ビ</t>
    </rPh>
    <phoneticPr fontId="4"/>
  </si>
  <si>
    <t>上場日</t>
    <phoneticPr fontId="4"/>
  </si>
  <si>
    <t>delisting_date</t>
    <phoneticPr fontId="4"/>
  </si>
  <si>
    <t xml:space="preserve">設立日 </t>
    <phoneticPr fontId="4"/>
  </si>
  <si>
    <t>単位%</t>
    <rPh sb="0" eb="2">
      <t>タンイ</t>
    </rPh>
    <phoneticPr fontId="4"/>
  </si>
  <si>
    <t>株価収益率</t>
    <phoneticPr fontId="4"/>
  </si>
  <si>
    <t>present_price</t>
    <phoneticPr fontId="4"/>
  </si>
  <si>
    <t>現在株価</t>
  </si>
  <si>
    <t>単位：円</t>
    <rPh sb="0" eb="2">
      <t>タンイ</t>
    </rPh>
    <rPh sb="3" eb="4">
      <t>エン</t>
    </rPh>
    <phoneticPr fontId="4"/>
  </si>
  <si>
    <t>出来高</t>
    <phoneticPr fontId="4"/>
  </si>
  <si>
    <t>volume</t>
    <phoneticPr fontId="4"/>
  </si>
  <si>
    <t>INTEGER</t>
    <phoneticPr fontId="4"/>
  </si>
  <si>
    <t>レーティング</t>
  </si>
  <si>
    <t>年初来高値</t>
  </si>
  <si>
    <t>年初来安値</t>
  </si>
  <si>
    <t>単位：倍</t>
    <phoneticPr fontId="4"/>
  </si>
  <si>
    <t>market_cap</t>
    <phoneticPr fontId="4"/>
  </si>
  <si>
    <t>credit_multiplier</t>
    <phoneticPr fontId="4"/>
  </si>
  <si>
    <t>単位転換</t>
  </si>
  <si>
    <t>発行済株数</t>
  </si>
  <si>
    <t>issued_shares</t>
    <phoneticPr fontId="4"/>
  </si>
  <si>
    <t>株価純資産倍率</t>
    <phoneticPr fontId="4"/>
  </si>
  <si>
    <t>book_value_per_share</t>
    <phoneticPr fontId="4"/>
  </si>
  <si>
    <t>総資産利益率</t>
    <phoneticPr fontId="4"/>
  </si>
  <si>
    <t>株主資本利益率</t>
    <phoneticPr fontId="4"/>
  </si>
  <si>
    <r>
      <rPr>
        <sz val="10"/>
        <rFont val="Microsoft YaHei"/>
        <family val="2"/>
        <charset val="134"/>
      </rPr>
      <t>债务权</t>
    </r>
    <r>
      <rPr>
        <sz val="10"/>
        <rFont val="ＭＳ ゴシック"/>
        <family val="3"/>
        <charset val="128"/>
      </rPr>
      <t>益比率</t>
    </r>
    <phoneticPr fontId="4"/>
  </si>
  <si>
    <t>ev_revenue</t>
    <phoneticPr fontId="4"/>
  </si>
  <si>
    <t>ev_ebitda</t>
    <phoneticPr fontId="4"/>
  </si>
  <si>
    <t>企业价值与收入的比率</t>
  </si>
  <si>
    <t>企业价值与息税前利润的比率</t>
  </si>
  <si>
    <t>基本1株当たり利益</t>
    <phoneticPr fontId="4"/>
  </si>
  <si>
    <t>moving_average</t>
    <phoneticPr fontId="4"/>
  </si>
  <si>
    <t>200日移動平均線</t>
    <phoneticPr fontId="4"/>
  </si>
  <si>
    <r>
      <t>企</t>
    </r>
    <r>
      <rPr>
        <sz val="10"/>
        <rFont val="Microsoft YaHei"/>
        <family val="2"/>
        <charset val="134"/>
      </rPr>
      <t>业</t>
    </r>
    <r>
      <rPr>
        <sz val="10"/>
        <rFont val="ＭＳ ゴシック"/>
        <family val="3"/>
        <charset val="128"/>
      </rPr>
      <t>价</t>
    </r>
    <r>
      <rPr>
        <sz val="10"/>
        <rFont val="Microsoft YaHei"/>
        <family val="2"/>
        <charset val="134"/>
      </rPr>
      <t>值</t>
    </r>
    <r>
      <rPr>
        <sz val="10"/>
        <rFont val="ＭＳ ゴシック"/>
        <family val="3"/>
        <charset val="128"/>
      </rPr>
      <t>/收入</t>
    </r>
    <phoneticPr fontId="4"/>
  </si>
  <si>
    <r>
      <t>企</t>
    </r>
    <r>
      <rPr>
        <sz val="10"/>
        <rFont val="Microsoft YaHei"/>
        <family val="2"/>
        <charset val="134"/>
      </rPr>
      <t>业</t>
    </r>
    <r>
      <rPr>
        <sz val="10"/>
        <rFont val="ＭＳ ゴシック"/>
        <family val="3"/>
        <charset val="128"/>
      </rPr>
      <t>价</t>
    </r>
    <r>
      <rPr>
        <sz val="10"/>
        <rFont val="Microsoft YaHei"/>
        <family val="2"/>
        <charset val="134"/>
      </rPr>
      <t>值</t>
    </r>
    <r>
      <rPr>
        <sz val="10"/>
        <rFont val="ＭＳ ゴシック"/>
        <family val="3"/>
        <charset val="128"/>
      </rPr>
      <t>/息税前利</t>
    </r>
    <r>
      <rPr>
        <sz val="10"/>
        <rFont val="Microsoft YaHei"/>
        <family val="2"/>
        <charset val="134"/>
      </rPr>
      <t>润</t>
    </r>
    <phoneticPr fontId="4"/>
  </si>
  <si>
    <t>dividend_yield</t>
    <phoneticPr fontId="4"/>
  </si>
  <si>
    <t>per</t>
    <phoneticPr fontId="4"/>
  </si>
  <si>
    <t>year_change_ratio</t>
    <phoneticPr fontId="4"/>
  </si>
  <si>
    <t>TEXT</t>
  </si>
  <si>
    <t>NOT NULL</t>
    <phoneticPr fontId="4"/>
  </si>
  <si>
    <t>REAL</t>
  </si>
  <si>
    <t>equity_statistics</t>
  </si>
  <si>
    <t>TSUBASA Smile</t>
    <phoneticPr fontId="18"/>
  </si>
  <si>
    <t>SmileBranch_テーブル定義一覧</t>
    <phoneticPr fontId="18"/>
  </si>
  <si>
    <t>作成日　2022/5/9</t>
    <rPh sb="0" eb="2">
      <t>サクセイ</t>
    </rPh>
    <rPh sb="2" eb="3">
      <t>ヒ</t>
    </rPh>
    <phoneticPr fontId="18"/>
  </si>
  <si>
    <t>◆</t>
    <phoneticPr fontId="129"/>
  </si>
  <si>
    <t>SmileBranch_テーブル定義一覧</t>
  </si>
  <si>
    <t>No</t>
    <phoneticPr fontId="129"/>
  </si>
  <si>
    <t>テーブル名</t>
    <rPh sb="4" eb="5">
      <t>メイ</t>
    </rPh>
    <phoneticPr fontId="129"/>
  </si>
  <si>
    <t>テーブル物理名</t>
    <rPh sb="4" eb="6">
      <t>ブツリ</t>
    </rPh>
    <rPh sb="6" eb="7">
      <t>メイ</t>
    </rPh>
    <phoneticPr fontId="129"/>
  </si>
  <si>
    <t>更新方法</t>
    <rPh sb="0" eb="2">
      <t>コウシン</t>
    </rPh>
    <rPh sb="2" eb="4">
      <t>ホウホウ</t>
    </rPh>
    <phoneticPr fontId="129"/>
  </si>
  <si>
    <t>サイクル</t>
    <phoneticPr fontId="129"/>
  </si>
  <si>
    <t>区分</t>
    <rPh sb="0" eb="2">
      <t>クブン</t>
    </rPh>
    <phoneticPr fontId="129"/>
  </si>
  <si>
    <t>意味定義</t>
    <rPh sb="0" eb="2">
      <t>イミ</t>
    </rPh>
    <rPh sb="2" eb="4">
      <t>テイギ</t>
    </rPh>
    <phoneticPr fontId="129"/>
  </si>
  <si>
    <t>備考</t>
    <rPh sb="0" eb="2">
      <t>ビコウ</t>
    </rPh>
    <phoneticPr fontId="129"/>
  </si>
  <si>
    <t>随時</t>
    <rPh sb="0" eb="2">
      <t>ズイジ</t>
    </rPh>
    <phoneticPr fontId="129"/>
  </si>
  <si>
    <t>マスタ</t>
    <phoneticPr fontId="129"/>
  </si>
  <si>
    <t>手動メンテ</t>
    <rPh sb="0" eb="2">
      <t>シュドウ</t>
    </rPh>
    <phoneticPr fontId="129"/>
  </si>
  <si>
    <t>静的</t>
    <rPh sb="0" eb="2">
      <t>セイテキ</t>
    </rPh>
    <phoneticPr fontId="129"/>
  </si>
  <si>
    <t>銘柄基本情報</t>
    <phoneticPr fontId="129"/>
  </si>
  <si>
    <t>equity_statistics</t>
    <phoneticPr fontId="129"/>
  </si>
  <si>
    <t>上場状況</t>
    <rPh sb="0" eb="2">
      <t>ジョウジョウ</t>
    </rPh>
    <rPh sb="2" eb="4">
      <t>ジョウキョウ</t>
    </rPh>
    <phoneticPr fontId="129"/>
  </si>
  <si>
    <t>オンライン</t>
    <phoneticPr fontId="129"/>
  </si>
  <si>
    <t>listing_status</t>
    <phoneticPr fontId="129"/>
  </si>
  <si>
    <t>listing_status</t>
    <phoneticPr fontId="1"/>
  </si>
  <si>
    <t>単位：円</t>
    <phoneticPr fontId="4"/>
  </si>
  <si>
    <t>単位：円 (M: 0.01億 ; B: 10億; T: 10000億)</t>
    <rPh sb="13" eb="14">
      <t>オク</t>
    </rPh>
    <rPh sb="22" eb="23">
      <t>オク</t>
    </rPh>
    <rPh sb="33" eb="34">
      <t>オク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</si>
</sst>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6">
    <numFmt numFmtId="6" formatCode="&quot;¥&quot;#,##0;[Red]&quot;¥&quot;\-#,##0"/>
    <numFmt numFmtId="8" formatCode="&quot;¥&quot;#,##0.00;[Red]&quot;¥&quot;\-#,##0.00"/>
    <numFmt numFmtId="41" formatCode="_ * #,##0_ ;_ * \-#,##0_ ;_ * &quot;-&quot;_ ;_ @_ "/>
    <numFmt numFmtId="43" formatCode="_ * #,##0.00_ ;_ * \-#,##0.00_ ;_ * &quot;-&quot;??_ ;_ @_ "/>
    <numFmt numFmtId="176" formatCode="_(&quot;$&quot;* #,##0_);_(&quot;$&quot;* \(#,##0\);_(&quot;$&quot;* &quot;-&quot;_);_(@_)"/>
    <numFmt numFmtId="177" formatCode="_(&quot;$&quot;* #,##0.00_);_(&quot;$&quot;* \(#,##0.00\);_(&quot;$&quot;* &quot;-&quot;??_);_(@_)"/>
    <numFmt numFmtId="178" formatCode="_(* #,##0_);_(* \(#,##0\);_(* &quot;-&quot;_);_(@_)"/>
    <numFmt numFmtId="179" formatCode="m&quot;月&quot;"/>
    <numFmt numFmtId="180" formatCode="&quot;$&quot;#,##0.00;[Red]&quot;$&quot;\-#,##0.00"/>
    <numFmt numFmtId="181" formatCode="0.0%"/>
    <numFmt numFmtId="182" formatCode="0.0_);[Red]\(0.0\)"/>
    <numFmt numFmtId="183" formatCode="#,##0;\-#,##0;&quot;-&quot;"/>
    <numFmt numFmtId="184" formatCode="0_);\(0\)"/>
    <numFmt numFmtId="185" formatCode="#,##0.00\ &quot;f&quot;;\-#,##0.00\ &quot;f&quot;"/>
    <numFmt numFmtId="186" formatCode="General_)"/>
    <numFmt numFmtId="187" formatCode="#,##0.0_);\(#,##0.0\)"/>
    <numFmt numFmtId="188" formatCode="&quot;$&quot;#,##0_);\(&quot;$&quot;#,##0\)"/>
    <numFmt numFmtId="189" formatCode="&quot;$&quot;#,##0.00_);\(&quot;$&quot;#,##0.00\)"/>
    <numFmt numFmtId="190" formatCode="#,##0;[Red]&quot;¥&quot;&quot;¥&quot;\(#,##0&quot;¥&quot;&quot;¥&quot;\)"/>
    <numFmt numFmtId="191" formatCode="_(* #,##0.00_);_(* &quot;¥&quot;&quot;¥&quot;\(#,##0.00&quot;¥&quot;&quot;¥&quot;\);_(* &quot;-&quot;_);_(@_)"/>
    <numFmt numFmtId="192" formatCode="0.0_ "/>
    <numFmt numFmtId="193" formatCode="[$€-2]\ #,##0.00_);[Red]\([$€-2]\ #,##0.00\)"/>
    <numFmt numFmtId="194" formatCode="0.000_ "/>
    <numFmt numFmtId="195" formatCode="dd"/>
    <numFmt numFmtId="196" formatCode="0.00_)"/>
    <numFmt numFmtId="197" formatCode="_-* #,##0.0_-;\-* #,##0.0_-;_-* &quot;-&quot;??_-;_-@_-"/>
    <numFmt numFmtId="198" formatCode="&quot;｣&quot;#,##0;&quot;¥&quot;&quot;¥&quot;\-&quot;｣&quot;#,##0"/>
    <numFmt numFmtId="199" formatCode="&quot;｣&quot;#,##0.00;&quot;¥&quot;&quot;¥&quot;\-&quot;｣&quot;#,##0.00"/>
    <numFmt numFmtId="200" formatCode="_(* #,##0.00_);_(* \(#,##0.00\);_(* &quot;-&quot;??_);_(@_)"/>
    <numFmt numFmtId="201" formatCode="\$#,##0.00"/>
    <numFmt numFmtId="202" formatCode="_ &quot;｣､&quot;* #,##0_ ;_ &quot;｣､&quot;* \-#,##0_ ;_ &quot;｣､&quot;* &quot;-&quot;_ ;_ @_ "/>
    <numFmt numFmtId="203" formatCode="000&quot;人日&quot;"/>
    <numFmt numFmtId="204" formatCode="#,##0_ ;[Red]\-#,##0\ "/>
    <numFmt numFmtId="205" formatCode="&quot;¥&quot;#,##0.\-;&quot;¥&quot;\-#,##0.\-"/>
    <numFmt numFmtId="206" formatCode="#,##0.000_ "/>
    <numFmt numFmtId="207" formatCode="0.00000_ "/>
    <numFmt numFmtId="208" formatCode="&quot;¥&quot;#,##0.00;\-&quot;¥&quot;#,##0.00"/>
    <numFmt numFmtId="209" formatCode="_-* #,##0_-;\-* #,##0_-;_-* &quot;-&quot;_-;_-@_-"/>
    <numFmt numFmtId="210" formatCode="#,##0_ ;[Red]&quot;¥&quot;\!\-#,##0&quot;¥&quot;\!\ "/>
    <numFmt numFmtId="211" formatCode="0_ ;[Red]\-0\ "/>
    <numFmt numFmtId="212" formatCode="#,##0&quot; &quot;;[Red]&quot;▲&quot;#,##0&quot; &quot;"/>
    <numFmt numFmtId="213" formatCode="#,##0_ "/>
    <numFmt numFmtId="214" formatCode="&quot;¥&quot;#,##0.00;[Red]\-&quot;¥&quot;#,##0.00"/>
    <numFmt numFmtId="215" formatCode="&quot;¥&quot;#,##0;[Red]\-&quot;¥&quot;#,##0"/>
    <numFmt numFmtId="216" formatCode="0.0"/>
    <numFmt numFmtId="217" formatCode="0_ "/>
  </numFmts>
  <fonts count="13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9"/>
      <name val="ＭＳ Ｐゴシック"/>
      <family val="3"/>
      <charset val="128"/>
    </font>
    <font>
      <sz val="12"/>
      <name val="ＭＳ 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ゴシック"/>
      <family val="3"/>
      <charset val="128"/>
    </font>
    <font>
      <sz val="9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0"/>
      <name val="FangSong"/>
      <family val="3"/>
      <charset val="134"/>
    </font>
    <font>
      <sz val="11"/>
      <name val="ＭＳ Ｐゴシック"/>
      <family val="3"/>
      <charset val="128"/>
    </font>
    <font>
      <b/>
      <sz val="9"/>
      <name val="ＭＳ ゴシック"/>
      <family val="3"/>
      <charset val="128"/>
    </font>
    <font>
      <u/>
      <sz val="11"/>
      <color theme="10"/>
      <name val="Yu Gothic"/>
      <family val="3"/>
      <charset val="128"/>
    </font>
    <font>
      <b/>
      <sz val="9"/>
      <name val="ＭＳ Ｐゴシック"/>
      <family val="3"/>
      <charset val="128"/>
    </font>
    <font>
      <sz val="10"/>
      <name val="Microsoft YaHei"/>
      <family val="2"/>
      <charset val="134"/>
    </font>
    <font>
      <sz val="10"/>
      <name val="ＭＳ ゴシック"/>
      <family val="2"/>
      <charset val="134"/>
    </font>
    <font>
      <sz val="11"/>
      <color theme="1"/>
      <name val="Yu Gothic"/>
      <family val="2"/>
      <charset val="128"/>
      <scheme val="minor"/>
    </font>
    <font>
      <sz val="6"/>
      <name val="ＭＳ ゴシック"/>
      <family val="3"/>
      <charset val="128"/>
    </font>
    <font>
      <sz val="11"/>
      <name val="明朝"/>
      <family val="1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8.25"/>
      <color indexed="12"/>
      <name val="ＭＳ Ｐゴシック"/>
      <family val="3"/>
      <charset val="128"/>
    </font>
    <font>
      <sz val="10"/>
      <name val="Helv"/>
      <family val="2"/>
    </font>
    <font>
      <sz val="11"/>
      <color indexed="8"/>
      <name val="ＭＳ Ｐゴシック"/>
      <family val="3"/>
      <charset val="128"/>
    </font>
    <font>
      <sz val="10"/>
      <name val="ＨＧ丸ゴシックM"/>
      <family val="3"/>
      <charset val="128"/>
    </font>
    <font>
      <sz val="10"/>
      <name val="ＭＳ 明朝"/>
      <family val="1"/>
      <charset val="128"/>
    </font>
    <font>
      <b/>
      <sz val="11"/>
      <color indexed="5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1"/>
      <name val="lr oSVbN"/>
      <family val="3"/>
    </font>
    <font>
      <sz val="11"/>
      <color indexed="17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3"/>
      <name val="Tms Rmn"/>
      <family val="1"/>
    </font>
    <font>
      <sz val="14"/>
      <name val="ＭＳ ゴシック"/>
      <family val="3"/>
      <charset val="128"/>
    </font>
    <font>
      <sz val="12"/>
      <name val="明朝"/>
      <family val="1"/>
      <charset val="128"/>
    </font>
    <font>
      <sz val="11"/>
      <name val="ＭＳ 明朝"/>
      <family val="1"/>
      <charset val="128"/>
    </font>
    <font>
      <sz val="12"/>
      <name val="システム"/>
      <family val="3"/>
      <charset val="128"/>
    </font>
    <font>
      <sz val="8"/>
      <name val="Times New Roman"/>
      <family val="1"/>
    </font>
    <font>
      <sz val="10"/>
      <name val="標準ゴシック"/>
      <family val="3"/>
      <charset val="128"/>
    </font>
    <font>
      <sz val="9"/>
      <color indexed="27"/>
      <name val="明朝"/>
      <family val="1"/>
      <charset val="128"/>
    </font>
    <font>
      <sz val="12"/>
      <name val="Tms Rmn"/>
      <family val="1"/>
    </font>
    <font>
      <sz val="10"/>
      <color indexed="8"/>
      <name val="Arial"/>
      <family val="2"/>
    </font>
    <font>
      <sz val="9"/>
      <name val="Helv"/>
      <family val="2"/>
    </font>
    <font>
      <b/>
      <sz val="13"/>
      <name val="Tms Rmn"/>
      <family val="1"/>
    </font>
    <font>
      <b/>
      <sz val="12"/>
      <name val="Helv"/>
      <family val="2"/>
    </font>
    <font>
      <sz val="12"/>
      <name val="Helv"/>
      <family val="2"/>
    </font>
    <font>
      <sz val="11"/>
      <name val="ＭＳ Ｐ明朝"/>
      <family val="1"/>
      <charset val="128"/>
    </font>
    <font>
      <sz val="9"/>
      <name val="Times New Roman"/>
      <family val="1"/>
    </font>
    <font>
      <i/>
      <sz val="11"/>
      <color indexed="23"/>
      <name val="ＭＳ Ｐゴシック"/>
      <family val="3"/>
      <charset val="128"/>
    </font>
    <font>
      <u/>
      <sz val="10"/>
      <color indexed="36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b/>
      <sz val="12"/>
      <color indexed="9"/>
      <name val="Tms Rmn"/>
      <family val="1"/>
    </font>
    <font>
      <b/>
      <sz val="12"/>
      <name val="Arial"/>
      <family val="2"/>
    </font>
    <font>
      <sz val="8"/>
      <name val="Tms Rmn"/>
      <family val="1"/>
    </font>
    <font>
      <sz val="7"/>
      <name val="Small Fonts"/>
      <family val="3"/>
      <charset val="128"/>
    </font>
    <font>
      <b/>
      <i/>
      <sz val="16"/>
      <name val="Helv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3"/>
      <color indexed="56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8"/>
      <color indexed="10"/>
      <name val="Helv"/>
      <family val="2"/>
    </font>
    <font>
      <sz val="8"/>
      <color indexed="16"/>
      <name val="Century Schoolbook"/>
      <family val="1"/>
    </font>
    <font>
      <b/>
      <sz val="11"/>
      <color indexed="18"/>
      <name val="Arial"/>
      <family val="2"/>
    </font>
    <font>
      <b/>
      <i/>
      <sz val="11"/>
      <color indexed="18"/>
      <name val="Arial"/>
      <family val="2"/>
    </font>
    <font>
      <sz val="12"/>
      <color indexed="18"/>
      <name val="MS Sans Serif"/>
      <family val="2"/>
    </font>
    <font>
      <sz val="12"/>
      <color indexed="9"/>
      <name val="MS Sans Serif"/>
      <family val="2"/>
    </font>
    <font>
      <sz val="11"/>
      <color indexed="9"/>
      <name val="Arial"/>
      <family val="2"/>
    </font>
    <font>
      <sz val="11"/>
      <name val="Arial"/>
      <family val="2"/>
    </font>
    <font>
      <b/>
      <sz val="11"/>
      <color indexed="9"/>
      <name val="Arial"/>
      <family val="2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sz val="18"/>
      <color indexed="18"/>
      <name val="Arial"/>
      <family val="2"/>
    </font>
    <font>
      <sz val="11"/>
      <color indexed="10"/>
      <name val="Arial"/>
      <family val="2"/>
    </font>
    <font>
      <b/>
      <i/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sz val="11"/>
      <color indexed="10"/>
      <name val="ＭＳ Ｐゴシック"/>
      <family val="3"/>
      <charset val="128"/>
    </font>
    <font>
      <b/>
      <sz val="11"/>
      <name val="明朝"/>
      <family val="1"/>
      <charset val="128"/>
    </font>
    <font>
      <sz val="11"/>
      <name val="ＨＧ丸ゴシックM"/>
      <family val="3"/>
      <charset val="128"/>
    </font>
    <font>
      <sz val="14"/>
      <name val="ＨＧ丸ゴシックM"/>
      <family val="3"/>
      <charset val="128"/>
    </font>
    <font>
      <sz val="12"/>
      <name val="Times New Roman"/>
      <family val="1"/>
    </font>
    <font>
      <sz val="22"/>
      <name val="ＭＳ 明朝"/>
      <family val="1"/>
      <charset val="128"/>
    </font>
    <font>
      <sz val="11"/>
      <color indexed="20"/>
      <name val="ＭＳ Ｐゴシック"/>
      <family val="3"/>
      <charset val="128"/>
    </font>
    <font>
      <b/>
      <u/>
      <sz val="20"/>
      <name val="ＭＳ ゴシック"/>
      <family val="3"/>
      <charset val="128"/>
    </font>
    <font>
      <u/>
      <sz val="11"/>
      <color indexed="12"/>
      <name val="ＭＳ Ｐゴシック"/>
      <family val="3"/>
      <charset val="128"/>
    </font>
    <font>
      <sz val="12"/>
      <name val="新細明體"/>
      <family val="1"/>
      <charset val="128"/>
    </font>
    <font>
      <sz val="10"/>
      <name val="ＭＳ Ｐ明朝"/>
      <family val="1"/>
      <charset val="128"/>
    </font>
    <font>
      <sz val="10"/>
      <name val="ＭＳ Ｐゴシック"/>
      <family val="3"/>
      <charset val="128"/>
    </font>
    <font>
      <sz val="8"/>
      <name val="ＭＳ 明朝"/>
      <family val="1"/>
      <charset val="128"/>
    </font>
    <font>
      <sz val="12"/>
      <name val="ＭＳ ・団"/>
      <family val="1"/>
      <charset val="128"/>
    </font>
    <font>
      <sz val="10"/>
      <name val="Geneva"/>
      <family val="2"/>
    </font>
    <font>
      <b/>
      <sz val="15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24"/>
      <name val="ＭＳ ゴシック"/>
      <family val="3"/>
      <charset val="128"/>
    </font>
    <font>
      <b/>
      <sz val="20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2"/>
      <name val="ＭＳ ゴシック"/>
      <family val="3"/>
      <charset val="128"/>
    </font>
    <font>
      <b/>
      <sz val="11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・団"/>
      <family val="1"/>
      <charset val="128"/>
    </font>
    <font>
      <sz val="10"/>
      <name val="中ゴシック体"/>
      <family val="3"/>
      <charset val="128"/>
    </font>
    <font>
      <sz val="9"/>
      <name val="ＭＳ 明朝"/>
      <family val="1"/>
      <charset val="128"/>
    </font>
    <font>
      <sz val="9"/>
      <name val="HG丸ｺﾞｼｯｸM-PRO"/>
      <family val="3"/>
      <charset val="128"/>
    </font>
    <font>
      <sz val="12"/>
      <name val="Osaka"/>
      <family val="3"/>
      <charset val="128"/>
    </font>
    <font>
      <sz val="10"/>
      <name val="Osaka"/>
      <family val="3"/>
      <charset val="128"/>
    </font>
    <font>
      <sz val="11"/>
      <color indexed="62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9"/>
      <name val="ＭＳ Ｐ明朝"/>
      <family val="1"/>
      <charset val="128"/>
    </font>
    <font>
      <sz val="6"/>
      <name val="ＭＳ 明朝"/>
      <family val="1"/>
      <charset val="128"/>
    </font>
    <font>
      <sz val="14"/>
      <name val="Terminal"/>
      <family val="3"/>
      <charset val="255"/>
    </font>
    <font>
      <u/>
      <sz val="8.25"/>
      <color indexed="36"/>
      <name val="ＭＳ Ｐゴシック"/>
      <family val="3"/>
      <charset val="128"/>
    </font>
    <font>
      <sz val="8"/>
      <name val="ＦＡ 明朝"/>
      <family val="1"/>
      <charset val="128"/>
    </font>
    <font>
      <sz val="14"/>
      <name val="ＭＳ 明朝"/>
      <family val="1"/>
      <charset val="128"/>
    </font>
    <font>
      <b/>
      <sz val="14"/>
      <name val="メイリオ"/>
      <family val="3"/>
      <charset val="128"/>
    </font>
    <font>
      <sz val="6"/>
      <name val="Yu Gothic"/>
      <family val="2"/>
      <charset val="128"/>
      <scheme val="minor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2"/>
      <name val="メイリオ"/>
      <family val="3"/>
      <charset val="128"/>
    </font>
    <font>
      <b/>
      <sz val="1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</fonts>
  <fills count="4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10"/>
      </patternFill>
    </fill>
    <fill>
      <patternFill patternType="solid">
        <fgColor indexed="43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6"/>
        <bgColor indexed="64"/>
      </patternFill>
    </fill>
    <fill>
      <patternFill patternType="mediumGray">
        <fgColor indexed="8"/>
        <bgColor indexed="37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6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54"/>
        <bgColor indexed="41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54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</borders>
  <cellStyleXfs count="664">
    <xf numFmtId="0" fontId="0" fillId="0" borderId="0"/>
    <xf numFmtId="0" fontId="2" fillId="0" borderId="0">
      <alignment vertical="center"/>
    </xf>
    <xf numFmtId="0" fontId="11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19" fillId="0" borderId="0"/>
    <xf numFmtId="0" fontId="20" fillId="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34" applyNumberFormat="0" applyAlignment="0" applyProtection="0">
      <alignment vertical="center"/>
    </xf>
    <xf numFmtId="0" fontId="19" fillId="0" borderId="0"/>
    <xf numFmtId="38" fontId="19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1" fillId="0" borderId="0"/>
    <xf numFmtId="176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9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38" fontId="11" fillId="0" borderId="0" applyFont="0" applyFill="0" applyBorder="0" applyAlignment="0" applyProtection="0"/>
    <xf numFmtId="0" fontId="19" fillId="0" borderId="0"/>
    <xf numFmtId="0" fontId="26" fillId="0" borderId="0"/>
    <xf numFmtId="0" fontId="2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3" fillId="0" borderId="0"/>
    <xf numFmtId="0" fontId="26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6" fillId="0" borderId="0"/>
    <xf numFmtId="40" fontId="19" fillId="0" borderId="0" applyFont="0" applyFill="0" applyBorder="0" applyAlignment="0" applyProtection="0"/>
    <xf numFmtId="178" fontId="27" fillId="0" borderId="0" applyFont="0" applyFill="0" applyBorder="0" applyAlignment="0" applyProtection="0"/>
    <xf numFmtId="0" fontId="28" fillId="0" borderId="0"/>
    <xf numFmtId="0" fontId="28" fillId="0" borderId="0"/>
    <xf numFmtId="0" fontId="24" fillId="0" borderId="0"/>
    <xf numFmtId="8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78" fontId="27" fillId="0" borderId="0" applyFont="0" applyFill="0" applyBorder="0" applyAlignment="0" applyProtection="0"/>
    <xf numFmtId="0" fontId="27" fillId="0" borderId="0"/>
    <xf numFmtId="0" fontId="29" fillId="0" borderId="0"/>
    <xf numFmtId="0" fontId="19" fillId="0" borderId="0"/>
    <xf numFmtId="8" fontId="11" fillId="0" borderId="0" applyFont="0" applyFill="0" applyBorder="0" applyAlignment="0" applyProtection="0"/>
    <xf numFmtId="0" fontId="29" fillId="0" borderId="0"/>
    <xf numFmtId="0" fontId="19" fillId="0" borderId="0"/>
    <xf numFmtId="9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0" fontId="27" fillId="0" borderId="0"/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179" fontId="11" fillId="0" borderId="0">
      <alignment horizontal="left" wrapText="1"/>
    </xf>
    <xf numFmtId="40" fontId="19" fillId="0" borderId="0" applyFont="0" applyFill="0" applyBorder="0" applyAlignment="0" applyProtection="0"/>
    <xf numFmtId="0" fontId="26" fillId="0" borderId="0"/>
    <xf numFmtId="0" fontId="23" fillId="0" borderId="0"/>
    <xf numFmtId="0" fontId="30" fillId="8" borderId="35" applyNumberFormat="0" applyAlignment="0" applyProtection="0">
      <alignment vertical="center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31" fillId="0" borderId="36" applyNumberFormat="0" applyFill="0" applyAlignment="0" applyProtection="0">
      <alignment vertical="center"/>
    </xf>
    <xf numFmtId="0" fontId="32" fillId="0" borderId="0"/>
    <xf numFmtId="0" fontId="33" fillId="9" borderId="0" applyNumberFormat="0" applyBorder="0" applyAlignment="0" applyProtection="0">
      <alignment vertical="center"/>
    </xf>
    <xf numFmtId="0" fontId="22" fillId="7" borderId="34" applyNumberFormat="0" applyAlignment="0" applyProtection="0">
      <alignment vertical="center"/>
    </xf>
    <xf numFmtId="0" fontId="34" fillId="0" borderId="37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180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81" fontId="36" fillId="0" borderId="0" applyFont="0" applyFill="0" applyBorder="0" applyAlignment="0" applyProtection="0"/>
    <xf numFmtId="10" fontId="36" fillId="0" borderId="0" applyFont="0" applyFill="0" applyBorder="0" applyAlignment="0" applyProtection="0"/>
    <xf numFmtId="0" fontId="34" fillId="0" borderId="37" applyNumberFormat="0" applyFill="0" applyAlignment="0" applyProtection="0">
      <alignment vertical="center"/>
    </xf>
    <xf numFmtId="0" fontId="37" fillId="0" borderId="0" applyNumberFormat="0" applyFill="0" applyBorder="0" applyAlignment="0" applyProtection="0"/>
    <xf numFmtId="0" fontId="19" fillId="0" borderId="0"/>
    <xf numFmtId="0" fontId="38" fillId="0" borderId="38" applyNumberFormat="0" applyFill="0" applyBorder="0" applyAlignment="0" applyProtection="0"/>
    <xf numFmtId="0" fontId="27" fillId="12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39" fillId="25" borderId="0"/>
    <xf numFmtId="0" fontId="40" fillId="0" borderId="0" applyFont="0" applyBorder="0" applyAlignment="0">
      <alignment horizontal="left"/>
    </xf>
    <xf numFmtId="182" fontId="2" fillId="0" borderId="0">
      <alignment horizontal="right"/>
      <protection locked="0"/>
    </xf>
    <xf numFmtId="0" fontId="41" fillId="0" borderId="0">
      <alignment horizontal="center" wrapText="1"/>
      <protection locked="0"/>
    </xf>
    <xf numFmtId="0" fontId="42" fillId="0" borderId="0"/>
    <xf numFmtId="4" fontId="43" fillId="26" borderId="0" applyNumberFormat="0" applyBorder="0" applyAlignment="0" applyProtection="0">
      <alignment horizontal="left"/>
    </xf>
    <xf numFmtId="182" fontId="2" fillId="0" borderId="0">
      <alignment horizontal="right"/>
      <protection locked="0"/>
    </xf>
    <xf numFmtId="0" fontId="44" fillId="0" borderId="0" applyNumberFormat="0" applyFill="0" applyBorder="0" applyAlignment="0" applyProtection="0"/>
    <xf numFmtId="183" fontId="45" fillId="0" borderId="0" applyFill="0" applyBorder="0" applyAlignment="0"/>
    <xf numFmtId="184" fontId="46" fillId="0" borderId="0" applyFill="0" applyBorder="0" applyAlignment="0"/>
    <xf numFmtId="185" fontId="6" fillId="0" borderId="0" applyFill="0" applyBorder="0" applyAlignment="0"/>
    <xf numFmtId="0" fontId="24" fillId="0" borderId="0" applyFill="0" applyBorder="0" applyAlignment="0"/>
    <xf numFmtId="0" fontId="24" fillId="0" borderId="0" applyFill="0" applyBorder="0" applyAlignment="0"/>
    <xf numFmtId="185" fontId="6" fillId="0" borderId="0" applyFill="0" applyBorder="0" applyAlignment="0"/>
    <xf numFmtId="0" fontId="24" fillId="0" borderId="0" applyFill="0" applyBorder="0" applyAlignment="0"/>
    <xf numFmtId="184" fontId="46" fillId="0" borderId="0" applyFill="0" applyBorder="0" applyAlignment="0"/>
    <xf numFmtId="0" fontId="47" fillId="0" borderId="15" applyNumberFormat="0" applyFill="0" applyProtection="0">
      <alignment horizontal="center"/>
    </xf>
    <xf numFmtId="186" fontId="48" fillId="0" borderId="0"/>
    <xf numFmtId="186" fontId="49" fillId="0" borderId="0"/>
    <xf numFmtId="186" fontId="49" fillId="0" borderId="0"/>
    <xf numFmtId="186" fontId="49" fillId="0" borderId="0"/>
    <xf numFmtId="186" fontId="49" fillId="0" borderId="0"/>
    <xf numFmtId="186" fontId="49" fillId="0" borderId="0"/>
    <xf numFmtId="186" fontId="49" fillId="0" borderId="0"/>
    <xf numFmtId="186" fontId="49" fillId="0" borderId="0"/>
    <xf numFmtId="185" fontId="6" fillId="0" borderId="0" applyFont="0" applyFill="0" applyBorder="0" applyAlignment="0" applyProtection="0"/>
    <xf numFmtId="37" fontId="36" fillId="0" borderId="0" applyFont="0" applyFill="0" applyBorder="0" applyAlignment="0" applyProtection="0"/>
    <xf numFmtId="187" fontId="36" fillId="0" borderId="0" applyFont="0" applyFill="0" applyBorder="0" applyAlignment="0" applyProtection="0"/>
    <xf numFmtId="39" fontId="36" fillId="0" borderId="0" applyFont="0" applyFill="0" applyBorder="0" applyAlignment="0" applyProtection="0"/>
    <xf numFmtId="0" fontId="3" fillId="0" borderId="0" applyNumberFormat="0" applyFont="0" applyBorder="0" applyAlignment="0" applyProtection="0"/>
    <xf numFmtId="184" fontId="46" fillId="0" borderId="0" applyFont="0" applyFill="0" applyBorder="0" applyAlignment="0" applyProtection="0"/>
    <xf numFmtId="188" fontId="36" fillId="0" borderId="0" applyFont="0" applyFill="0" applyBorder="0" applyAlignment="0" applyProtection="0"/>
    <xf numFmtId="189" fontId="36" fillId="0" borderId="0" applyFont="0" applyFill="0" applyBorder="0" applyAlignment="0" applyProtection="0"/>
    <xf numFmtId="14" fontId="45" fillId="0" borderId="0" applyFill="0" applyBorder="0" applyAlignment="0"/>
    <xf numFmtId="0" fontId="50" fillId="0" borderId="0"/>
    <xf numFmtId="17" fontId="26" fillId="0" borderId="0" applyNumberFormat="0" applyFont="0" applyFill="0" applyBorder="0" applyAlignment="0" applyProtection="0">
      <alignment horizontal="right"/>
    </xf>
    <xf numFmtId="185" fontId="6" fillId="0" borderId="0" applyFill="0" applyBorder="0" applyAlignment="0"/>
    <xf numFmtId="184" fontId="46" fillId="0" borderId="0" applyFill="0" applyBorder="0" applyAlignment="0"/>
    <xf numFmtId="185" fontId="6" fillId="0" borderId="0" applyFill="0" applyBorder="0" applyAlignment="0"/>
    <xf numFmtId="0" fontId="24" fillId="0" borderId="0" applyFill="0" applyBorder="0" applyAlignment="0"/>
    <xf numFmtId="184" fontId="46" fillId="0" borderId="0" applyFill="0" applyBorder="0" applyAlignment="0"/>
    <xf numFmtId="0" fontId="51" fillId="0" borderId="0">
      <alignment horizontal="left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top"/>
      <protection locked="0"/>
    </xf>
    <xf numFmtId="0" fontId="54" fillId="0" borderId="0">
      <alignment vertical="center"/>
    </xf>
    <xf numFmtId="38" fontId="55" fillId="27" borderId="0" applyNumberFormat="0" applyBorder="0" applyAlignment="0" applyProtection="0"/>
    <xf numFmtId="0" fontId="56" fillId="28" borderId="0"/>
    <xf numFmtId="0" fontId="57" fillId="0" borderId="39" applyNumberFormat="0" applyAlignment="0" applyProtection="0">
      <alignment horizontal="left" vertical="center"/>
    </xf>
    <xf numFmtId="0" fontId="57" fillId="0" borderId="5">
      <alignment horizontal="left" vertical="center"/>
    </xf>
    <xf numFmtId="0" fontId="58" fillId="0" borderId="0"/>
    <xf numFmtId="0" fontId="6" fillId="0" borderId="0" applyBorder="0"/>
    <xf numFmtId="10" fontId="55" fillId="29" borderId="29" applyNumberFormat="0" applyBorder="0" applyAlignment="0" applyProtection="0"/>
    <xf numFmtId="0" fontId="57" fillId="0" borderId="0" applyFont="0" applyAlignment="0">
      <alignment horizontal="justify" vertical="top" wrapText="1"/>
    </xf>
    <xf numFmtId="0" fontId="6" fillId="0" borderId="0"/>
    <xf numFmtId="190" fontId="11" fillId="0" borderId="0" applyFont="0" applyFill="0" applyBorder="0" applyAlignment="0" applyProtection="0"/>
    <xf numFmtId="191" fontId="19" fillId="0" borderId="0" applyFont="0" applyFill="0" applyBorder="0" applyAlignment="0" applyProtection="0"/>
    <xf numFmtId="185" fontId="6" fillId="0" borderId="0" applyFill="0" applyBorder="0" applyAlignment="0"/>
    <xf numFmtId="184" fontId="46" fillId="0" borderId="0" applyFill="0" applyBorder="0" applyAlignment="0"/>
    <xf numFmtId="185" fontId="6" fillId="0" borderId="0" applyFill="0" applyBorder="0" applyAlignment="0"/>
    <xf numFmtId="0" fontId="24" fillId="0" borderId="0" applyFill="0" applyBorder="0" applyAlignment="0"/>
    <xf numFmtId="184" fontId="46" fillId="0" borderId="0" applyFill="0" applyBorder="0" applyAlignment="0"/>
    <xf numFmtId="192" fontId="11" fillId="0" borderId="0" applyFont="0" applyFill="0" applyBorder="0" applyAlignment="0" applyProtection="0"/>
    <xf numFmtId="193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5" fontId="11" fillId="0" borderId="0" applyFont="0" applyFill="0" applyBorder="0" applyAlignment="0" applyProtection="0"/>
    <xf numFmtId="0" fontId="11" fillId="0" borderId="0"/>
    <xf numFmtId="37" fontId="59" fillId="0" borderId="0"/>
    <xf numFmtId="196" fontId="60" fillId="0" borderId="0"/>
    <xf numFmtId="0" fontId="24" fillId="0" borderId="0"/>
    <xf numFmtId="14" fontId="41" fillId="0" borderId="0">
      <alignment horizontal="center" wrapText="1"/>
      <protection locked="0"/>
    </xf>
    <xf numFmtId="0" fontId="24" fillId="0" borderId="0" applyFont="0" applyFill="0" applyBorder="0" applyAlignment="0" applyProtection="0"/>
    <xf numFmtId="197" fontId="24" fillId="0" borderId="0" applyFont="0" applyFill="0" applyBorder="0" applyAlignment="0" applyProtection="0"/>
    <xf numFmtId="10" fontId="24" fillId="0" borderId="0" applyFont="0" applyFill="0" applyBorder="0" applyAlignment="0" applyProtection="0"/>
    <xf numFmtId="185" fontId="6" fillId="0" borderId="0" applyFill="0" applyBorder="0" applyAlignment="0"/>
    <xf numFmtId="184" fontId="46" fillId="0" borderId="0" applyFill="0" applyBorder="0" applyAlignment="0"/>
    <xf numFmtId="185" fontId="6" fillId="0" borderId="0" applyFill="0" applyBorder="0" applyAlignment="0"/>
    <xf numFmtId="0" fontId="24" fillId="0" borderId="0" applyFill="0" applyBorder="0" applyAlignment="0"/>
    <xf numFmtId="184" fontId="46" fillId="0" borderId="0" applyFill="0" applyBorder="0" applyAlignment="0"/>
    <xf numFmtId="4" fontId="51" fillId="0" borderId="0">
      <alignment horizontal="right"/>
    </xf>
    <xf numFmtId="188" fontId="26" fillId="0" borderId="0">
      <alignment horizontal="right"/>
    </xf>
    <xf numFmtId="0" fontId="61" fillId="0" borderId="0" applyNumberFormat="0" applyFont="0" applyFill="0" applyBorder="0" applyAlignment="0" applyProtection="0">
      <alignment horizontal="left"/>
    </xf>
    <xf numFmtId="15" fontId="61" fillId="0" borderId="0" applyFont="0" applyFill="0" applyBorder="0" applyAlignment="0" applyProtection="0"/>
    <xf numFmtId="4" fontId="61" fillId="0" borderId="0" applyFont="0" applyFill="0" applyBorder="0" applyAlignment="0" applyProtection="0"/>
    <xf numFmtId="0" fontId="62" fillId="0" borderId="40">
      <alignment horizontal="center"/>
    </xf>
    <xf numFmtId="3" fontId="61" fillId="0" borderId="0" applyFont="0" applyFill="0" applyBorder="0" applyAlignment="0" applyProtection="0"/>
    <xf numFmtId="0" fontId="61" fillId="30" borderId="0" applyNumberFormat="0" applyFont="0" applyBorder="0" applyAlignment="0" applyProtection="0"/>
    <xf numFmtId="0" fontId="63" fillId="0" borderId="41" applyNumberFormat="0" applyFill="0" applyAlignment="0" applyProtection="0">
      <alignment vertical="center"/>
    </xf>
    <xf numFmtId="0" fontId="64" fillId="8" borderId="42" applyNumberFormat="0" applyAlignment="0" applyProtection="0">
      <alignment vertical="center"/>
    </xf>
    <xf numFmtId="0" fontId="65" fillId="0" borderId="0"/>
    <xf numFmtId="4" fontId="66" fillId="0" borderId="0">
      <alignment horizontal="right"/>
    </xf>
    <xf numFmtId="0" fontId="19" fillId="0" borderId="0"/>
    <xf numFmtId="0" fontId="19" fillId="0" borderId="0"/>
    <xf numFmtId="4" fontId="67" fillId="31" borderId="43" applyNumberFormat="0" applyProtection="0">
      <alignment vertical="center"/>
    </xf>
    <xf numFmtId="4" fontId="68" fillId="31" borderId="43" applyNumberFormat="0" applyProtection="0">
      <alignment vertical="center"/>
    </xf>
    <xf numFmtId="4" fontId="69" fillId="31" borderId="43" applyNumberFormat="0" applyProtection="0">
      <alignment horizontal="left" vertical="center"/>
    </xf>
    <xf numFmtId="4" fontId="70" fillId="32" borderId="43" applyNumberFormat="0" applyProtection="0">
      <alignment horizontal="left" vertical="center"/>
    </xf>
    <xf numFmtId="4" fontId="71" fillId="33" borderId="43" applyNumberFormat="0" applyProtection="0">
      <alignment vertical="center"/>
    </xf>
    <xf numFmtId="4" fontId="72" fillId="27" borderId="43" applyNumberFormat="0" applyProtection="0">
      <alignment vertical="center"/>
    </xf>
    <xf numFmtId="4" fontId="71" fillId="34" borderId="43" applyNumberFormat="0" applyProtection="0">
      <alignment vertical="center"/>
    </xf>
    <xf numFmtId="4" fontId="73" fillId="33" borderId="43" applyNumberFormat="0" applyProtection="0">
      <alignment vertical="center"/>
    </xf>
    <xf numFmtId="4" fontId="74" fillId="35" borderId="43" applyNumberFormat="0" applyProtection="0">
      <alignment horizontal="left" vertical="center"/>
    </xf>
    <xf numFmtId="4" fontId="74" fillId="36" borderId="43" applyNumberFormat="0" applyProtection="0">
      <alignment horizontal="left" vertical="center"/>
    </xf>
    <xf numFmtId="4" fontId="75" fillId="32" borderId="43" applyNumberFormat="0" applyProtection="0">
      <alignment horizontal="left" vertical="center"/>
    </xf>
    <xf numFmtId="4" fontId="76" fillId="2" borderId="43" applyNumberFormat="0" applyProtection="0">
      <alignment vertical="center"/>
    </xf>
    <xf numFmtId="4" fontId="77" fillId="37" borderId="43" applyNumberFormat="0" applyProtection="0">
      <alignment horizontal="left" vertical="center"/>
    </xf>
    <xf numFmtId="4" fontId="78" fillId="36" borderId="43" applyNumberFormat="0" applyProtection="0">
      <alignment horizontal="left" vertical="center"/>
    </xf>
    <xf numFmtId="4" fontId="79" fillId="32" borderId="43" applyNumberFormat="0" applyProtection="0">
      <alignment horizontal="left" vertical="center"/>
    </xf>
    <xf numFmtId="4" fontId="80" fillId="37" borderId="43" applyNumberFormat="0" applyProtection="0">
      <alignment vertical="center"/>
    </xf>
    <xf numFmtId="4" fontId="81" fillId="37" borderId="43" applyNumberFormat="0" applyProtection="0">
      <alignment vertical="center"/>
    </xf>
    <xf numFmtId="4" fontId="74" fillId="36" borderId="43" applyNumberFormat="0" applyProtection="0">
      <alignment horizontal="left" vertical="center"/>
    </xf>
    <xf numFmtId="4" fontId="82" fillId="37" borderId="43" applyNumberFormat="0" applyProtection="0">
      <alignment vertical="center"/>
    </xf>
    <xf numFmtId="4" fontId="83" fillId="37" borderId="43" applyNumberFormat="0" applyProtection="0">
      <alignment vertical="center"/>
    </xf>
    <xf numFmtId="4" fontId="74" fillId="36" borderId="43" applyNumberFormat="0" applyProtection="0">
      <alignment horizontal="left" vertical="center"/>
    </xf>
    <xf numFmtId="4" fontId="84" fillId="37" borderId="43" applyNumberFormat="0" applyProtection="0">
      <alignment vertical="center"/>
    </xf>
    <xf numFmtId="4" fontId="85" fillId="37" borderId="43" applyNumberFormat="0" applyProtection="0">
      <alignment vertical="center"/>
    </xf>
    <xf numFmtId="4" fontId="74" fillId="29" borderId="43" applyNumberFormat="0" applyProtection="0">
      <alignment horizontal="left" vertical="center"/>
    </xf>
    <xf numFmtId="4" fontId="86" fillId="2" borderId="43" applyNumberFormat="0" applyProtection="0">
      <alignment horizontal="left"/>
    </xf>
    <xf numFmtId="4" fontId="87" fillId="37" borderId="43" applyNumberFormat="0" applyProtection="0">
      <alignment vertical="center"/>
    </xf>
    <xf numFmtId="0" fontId="88" fillId="0" borderId="0">
      <alignment horizontal="left"/>
    </xf>
    <xf numFmtId="0" fontId="61" fillId="0" borderId="0"/>
    <xf numFmtId="0" fontId="89" fillId="37" borderId="0">
      <alignment horizontal="left" vertical="top"/>
    </xf>
    <xf numFmtId="0" fontId="90" fillId="0" borderId="0"/>
    <xf numFmtId="0" fontId="91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/>
    <xf numFmtId="0" fontId="93" fillId="0" borderId="0">
      <alignment horizontal="center" vertical="center"/>
    </xf>
    <xf numFmtId="49" fontId="94" fillId="0" borderId="0" applyFill="0" applyBorder="0" applyProtection="0">
      <alignment horizontal="centerContinuous" vertical="center"/>
    </xf>
    <xf numFmtId="0" fontId="94" fillId="29" borderId="0" applyFill="0" applyBorder="0" applyProtection="0">
      <alignment horizontal="center" vertical="center"/>
    </xf>
    <xf numFmtId="49" fontId="94" fillId="0" borderId="0" applyFill="0" applyBorder="0" applyProtection="0">
      <alignment horizontal="centerContinuous"/>
      <protection locked="0"/>
    </xf>
    <xf numFmtId="49" fontId="45" fillId="0" borderId="0" applyFill="0" applyBorder="0" applyAlignment="0"/>
    <xf numFmtId="0" fontId="24" fillId="0" borderId="0" applyFill="0" applyBorder="0" applyAlignment="0"/>
    <xf numFmtId="0" fontId="24" fillId="0" borderId="0" applyFill="0" applyBorder="0" applyAlignment="0"/>
    <xf numFmtId="0" fontId="29" fillId="0" borderId="0"/>
    <xf numFmtId="198" fontId="11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27" fillId="0" borderId="0" applyFont="0" applyFill="0" applyBorder="0" applyAlignment="0" applyProtection="0"/>
    <xf numFmtId="0" fontId="20" fillId="38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201" fontId="95" fillId="0" borderId="0"/>
    <xf numFmtId="0" fontId="24" fillId="0" borderId="0"/>
    <xf numFmtId="0" fontId="95" fillId="0" borderId="0"/>
    <xf numFmtId="1" fontId="95" fillId="0" borderId="0" applyNumberFormat="0"/>
    <xf numFmtId="202" fontId="95" fillId="0" borderId="0" applyFont="0" applyFill="0" applyBorder="0" applyAlignment="0" applyProtection="0"/>
    <xf numFmtId="201" fontId="95" fillId="0" borderId="0" applyFont="0" applyFill="0" applyBorder="0" applyAlignment="0" applyProtection="0"/>
    <xf numFmtId="0" fontId="28" fillId="0" borderId="0"/>
    <xf numFmtId="0" fontId="27" fillId="19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96" fillId="0" borderId="0">
      <alignment vertical="center"/>
    </xf>
    <xf numFmtId="0" fontId="97" fillId="1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8" fillId="0" borderId="0"/>
    <xf numFmtId="0" fontId="9" fillId="0" borderId="0"/>
    <xf numFmtId="0" fontId="22" fillId="7" borderId="34" applyNumberFormat="0" applyAlignment="0" applyProtection="0">
      <alignment vertical="center"/>
    </xf>
    <xf numFmtId="0" fontId="22" fillId="7" borderId="34" applyNumberFormat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38" fontId="61" fillId="0" borderId="0" applyFont="0" applyFill="0" applyBorder="0" applyAlignment="0" applyProtection="0"/>
    <xf numFmtId="40" fontId="61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9" fontId="89" fillId="0" borderId="0" applyFon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top"/>
      <protection locked="0"/>
    </xf>
    <xf numFmtId="0" fontId="11" fillId="40" borderId="44" applyNumberFormat="0" applyFont="0" applyAlignment="0" applyProtection="0">
      <alignment vertical="center"/>
    </xf>
    <xf numFmtId="0" fontId="11" fillId="40" borderId="44" applyNumberFormat="0" applyFont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0" borderId="37" applyNumberFormat="0" applyFill="0" applyAlignment="0" applyProtection="0">
      <alignment vertical="center"/>
    </xf>
    <xf numFmtId="0" fontId="34" fillId="0" borderId="37" applyNumberFormat="0" applyFill="0" applyAlignment="0" applyProtection="0">
      <alignment vertical="center"/>
    </xf>
    <xf numFmtId="0" fontId="39" fillId="0" borderId="0"/>
    <xf numFmtId="0" fontId="19" fillId="0" borderId="0"/>
    <xf numFmtId="0" fontId="97" fillId="13" borderId="0" applyNumberFormat="0" applyBorder="0" applyAlignment="0" applyProtection="0">
      <alignment vertical="center"/>
    </xf>
    <xf numFmtId="0" fontId="97" fillId="13" borderId="0" applyNumberFormat="0" applyBorder="0" applyAlignment="0" applyProtection="0">
      <alignment vertical="center"/>
    </xf>
    <xf numFmtId="0" fontId="100" fillId="0" borderId="0"/>
    <xf numFmtId="0" fontId="101" fillId="0" borderId="0" applyFill="0" applyBorder="0" applyProtection="0">
      <alignment horizontal="center" vertical="top" wrapText="1"/>
    </xf>
    <xf numFmtId="203" fontId="11" fillId="0" borderId="0" applyFont="0" applyFill="0" applyBorder="0" applyAlignment="0" applyProtection="0"/>
    <xf numFmtId="0" fontId="11" fillId="0" borderId="45"/>
    <xf numFmtId="204" fontId="102" fillId="0" borderId="0" applyBorder="0">
      <alignment horizontal="right"/>
    </xf>
    <xf numFmtId="0" fontId="29" fillId="0" borderId="0">
      <alignment vertical="top"/>
    </xf>
    <xf numFmtId="0" fontId="19" fillId="0" borderId="0"/>
    <xf numFmtId="0" fontId="29" fillId="0" borderId="0">
      <alignment vertical="center"/>
    </xf>
    <xf numFmtId="205" fontId="103" fillId="0" borderId="46" applyNumberFormat="0" applyFont="0" applyFill="0" applyAlignment="0" applyProtection="0">
      <alignment horizontal="left"/>
    </xf>
    <xf numFmtId="0" fontId="30" fillId="8" borderId="35" applyNumberFormat="0" applyAlignment="0" applyProtection="0">
      <alignment vertical="center"/>
    </xf>
    <xf numFmtId="0" fontId="30" fillId="8" borderId="35" applyNumberForma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38" fontId="39" fillId="0" borderId="0" applyFont="0" applyFill="0" applyBorder="0" applyAlignment="0" applyProtection="0"/>
    <xf numFmtId="43" fontId="24" fillId="0" borderId="0" applyFont="0" applyFill="0" applyBorder="0" applyAlignment="0" applyProtection="0"/>
    <xf numFmtId="38" fontId="104" fillId="0" borderId="0" applyFont="0" applyFill="0" applyBorder="0" applyProtection="0">
      <alignment vertical="center"/>
    </xf>
    <xf numFmtId="4" fontId="105" fillId="0" borderId="0" applyFont="0" applyFill="0" applyBorder="0" applyAlignment="0" applyProtection="0"/>
    <xf numFmtId="38" fontId="11" fillId="0" borderId="0" applyFont="0" applyFill="0" applyBorder="0" applyAlignment="0" applyProtection="0"/>
    <xf numFmtId="206" fontId="11" fillId="0" borderId="0">
      <alignment vertical="center"/>
    </xf>
    <xf numFmtId="207" fontId="11" fillId="0" borderId="0">
      <alignment vertical="center"/>
    </xf>
    <xf numFmtId="0" fontId="106" fillId="0" borderId="47" applyNumberFormat="0" applyFill="0" applyAlignment="0" applyProtection="0">
      <alignment vertical="center"/>
    </xf>
    <xf numFmtId="0" fontId="106" fillId="0" borderId="47" applyNumberFormat="0" applyFill="0" applyAlignment="0" applyProtection="0">
      <alignment vertical="center"/>
    </xf>
    <xf numFmtId="0" fontId="63" fillId="0" borderId="41" applyNumberFormat="0" applyFill="0" applyAlignment="0" applyProtection="0">
      <alignment vertical="center"/>
    </xf>
    <xf numFmtId="0" fontId="63" fillId="0" borderId="41" applyNumberFormat="0" applyFill="0" applyAlignment="0" applyProtection="0">
      <alignment vertical="center"/>
    </xf>
    <xf numFmtId="0" fontId="107" fillId="0" borderId="48" applyNumberFormat="0" applyFill="0" applyAlignment="0" applyProtection="0">
      <alignment vertical="center"/>
    </xf>
    <xf numFmtId="0" fontId="107" fillId="0" borderId="48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0" borderId="0"/>
    <xf numFmtId="0" fontId="109" fillId="0" borderId="0"/>
    <xf numFmtId="0" fontId="110" fillId="0" borderId="0"/>
    <xf numFmtId="0" fontId="9" fillId="0" borderId="0"/>
    <xf numFmtId="0" fontId="111" fillId="0" borderId="0"/>
    <xf numFmtId="0" fontId="112" fillId="0" borderId="0"/>
    <xf numFmtId="40" fontId="11" fillId="0" borderId="0" applyFont="0" applyFill="0" applyBorder="0" applyAlignment="0" applyProtection="0"/>
    <xf numFmtId="0" fontId="111" fillId="0" borderId="0"/>
    <xf numFmtId="0" fontId="91" fillId="0" borderId="0" applyNumberFormat="0" applyFill="0" applyBorder="0" applyAlignment="0" applyProtection="0">
      <alignment vertical="center"/>
    </xf>
    <xf numFmtId="0" fontId="23" fillId="0" borderId="49">
      <alignment vertical="top"/>
    </xf>
    <xf numFmtId="0" fontId="31" fillId="0" borderId="36" applyNumberFormat="0" applyFill="0" applyAlignment="0" applyProtection="0">
      <alignment vertical="center"/>
    </xf>
    <xf numFmtId="0" fontId="31" fillId="0" borderId="36" applyNumberFormat="0" applyFill="0" applyAlignment="0" applyProtection="0">
      <alignment vertical="center"/>
    </xf>
    <xf numFmtId="0" fontId="101" fillId="0" borderId="17" applyBorder="0">
      <alignment horizontal="distributed" vertical="top" textRotation="255"/>
    </xf>
    <xf numFmtId="0" fontId="64" fillId="8" borderId="42" applyNumberFormat="0" applyAlignment="0" applyProtection="0">
      <alignment vertical="center"/>
    </xf>
    <xf numFmtId="0" fontId="64" fillId="8" borderId="42" applyNumberFormat="0" applyAlignment="0" applyProtection="0">
      <alignment vertical="center"/>
    </xf>
    <xf numFmtId="208" fontId="113" fillId="0" borderId="0">
      <alignment vertical="center"/>
    </xf>
    <xf numFmtId="209" fontId="113" fillId="0" borderId="0" applyFont="0" applyFill="0" applyBorder="0" applyProtection="0">
      <alignment vertical="center"/>
    </xf>
    <xf numFmtId="0" fontId="11" fillId="0" borderId="0"/>
    <xf numFmtId="0" fontId="11" fillId="0" borderId="0">
      <alignment vertical="center"/>
    </xf>
    <xf numFmtId="184" fontId="102" fillId="0" borderId="0" applyBorder="0">
      <alignment horizontal="left"/>
    </xf>
    <xf numFmtId="210" fontId="102" fillId="0" borderId="0" applyFill="0" applyBorder="0"/>
    <xf numFmtId="211" fontId="102" fillId="0" borderId="0" applyFill="0" applyBorder="0"/>
    <xf numFmtId="212" fontId="11" fillId="0" borderId="0" applyFont="0" applyFill="0" applyBorder="0" applyProtection="0">
      <alignment vertical="center"/>
    </xf>
    <xf numFmtId="49" fontId="102" fillId="37" borderId="50">
      <alignment horizontal="center"/>
    </xf>
    <xf numFmtId="213" fontId="102" fillId="37" borderId="50">
      <alignment horizontal="right"/>
    </xf>
    <xf numFmtId="14" fontId="102" fillId="37" borderId="0" applyBorder="0">
      <alignment horizontal="center"/>
    </xf>
    <xf numFmtId="49" fontId="102" fillId="0" borderId="50"/>
    <xf numFmtId="178" fontId="11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38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214" fontId="114" fillId="0" borderId="0" applyFont="0" applyFill="0" applyBorder="0" applyAlignment="0" applyProtection="0"/>
    <xf numFmtId="215" fontId="114" fillId="0" borderId="0" applyFont="0" applyFill="0" applyBorder="0" applyAlignment="0" applyProtection="0"/>
    <xf numFmtId="0" fontId="115" fillId="0" borderId="0"/>
    <xf numFmtId="0" fontId="7" fillId="0" borderId="0">
      <alignment horizontal="left" vertical="center"/>
    </xf>
    <xf numFmtId="0" fontId="116" fillId="0" borderId="0">
      <alignment horizontal="center" vertical="center"/>
    </xf>
    <xf numFmtId="8" fontId="6" fillId="0" borderId="0" applyFont="0" applyFill="0" applyBorder="0" applyAlignment="0" applyProtection="0"/>
    <xf numFmtId="207" fontId="11" fillId="0" borderId="0" applyFont="0" applyFill="0" applyBorder="0" applyAlignment="0" applyProtection="0"/>
    <xf numFmtId="6" fontId="117" fillId="0" borderId="0" applyFont="0" applyFill="0" applyBorder="0" applyAlignment="0" applyProtection="0">
      <alignment vertical="center"/>
    </xf>
    <xf numFmtId="0" fontId="118" fillId="0" borderId="40"/>
    <xf numFmtId="216" fontId="119" fillId="0" borderId="0" applyFont="0" applyFill="0" applyBorder="0" applyAlignment="0" applyProtection="0"/>
    <xf numFmtId="14" fontId="102" fillId="0" borderId="11" applyBorder="0">
      <alignment horizontal="left"/>
    </xf>
    <xf numFmtId="14" fontId="102" fillId="0" borderId="0"/>
    <xf numFmtId="0" fontId="120" fillId="16" borderId="35" applyNumberFormat="0" applyAlignment="0" applyProtection="0">
      <alignment vertical="center"/>
    </xf>
    <xf numFmtId="0" fontId="120" fillId="16" borderId="35" applyNumberFormat="0" applyAlignment="0" applyProtection="0">
      <alignment vertical="center"/>
    </xf>
    <xf numFmtId="14" fontId="102" fillId="0" borderId="0" applyFill="0" applyBorder="0"/>
    <xf numFmtId="217" fontId="5" fillId="0" borderId="51" applyNumberFormat="0" applyFont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27" fillId="0" borderId="0">
      <alignment vertical="center"/>
    </xf>
    <xf numFmtId="0" fontId="27" fillId="0" borderId="0">
      <alignment vertical="center"/>
    </xf>
    <xf numFmtId="0" fontId="6" fillId="0" borderId="0"/>
    <xf numFmtId="0" fontId="6" fillId="0" borderId="0"/>
    <xf numFmtId="0" fontId="12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89" fillId="0" borderId="0">
      <alignment vertical="center"/>
    </xf>
    <xf numFmtId="0" fontId="89" fillId="0" borderId="0">
      <alignment vertical="center"/>
    </xf>
    <xf numFmtId="0" fontId="6" fillId="0" borderId="0"/>
    <xf numFmtId="0" fontId="27" fillId="0" borderId="0">
      <alignment vertical="center"/>
    </xf>
    <xf numFmtId="0" fontId="11" fillId="0" borderId="0"/>
    <xf numFmtId="0" fontId="11" fillId="0" borderId="0"/>
    <xf numFmtId="0" fontId="11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39" fillId="0" borderId="0">
      <alignment vertical="top" wrapText="1"/>
    </xf>
    <xf numFmtId="0" fontId="39" fillId="0" borderId="0"/>
    <xf numFmtId="0" fontId="29" fillId="0" borderId="0">
      <alignment vertical="center"/>
    </xf>
    <xf numFmtId="0" fontId="122" fillId="0" borderId="0"/>
    <xf numFmtId="0" fontId="123" fillId="0" borderId="52">
      <alignment vertical="top" wrapText="1"/>
    </xf>
    <xf numFmtId="0" fontId="124" fillId="0" borderId="0"/>
    <xf numFmtId="0" fontId="29" fillId="0" borderId="53" applyBorder="0">
      <alignment vertical="top"/>
    </xf>
    <xf numFmtId="0" fontId="39" fillId="0" borderId="0"/>
    <xf numFmtId="0" fontId="102" fillId="0" borderId="15">
      <alignment horizontal="left"/>
    </xf>
    <xf numFmtId="0" fontId="29" fillId="27" borderId="0" applyNumberFormat="0" applyAlignment="0"/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>
      <alignment vertical="center"/>
    </xf>
    <xf numFmtId="49" fontId="102" fillId="0" borderId="0">
      <alignment horizontal="left" wrapText="1"/>
    </xf>
    <xf numFmtId="49" fontId="102" fillId="0" borderId="15">
      <alignment horizontal="left"/>
    </xf>
    <xf numFmtId="49" fontId="102" fillId="0" borderId="15">
      <alignment horizontal="left" vertical="top" wrapText="1"/>
    </xf>
    <xf numFmtId="0" fontId="102" fillId="0" borderId="0">
      <alignment wrapText="1"/>
    </xf>
    <xf numFmtId="49" fontId="11" fillId="0" borderId="0"/>
    <xf numFmtId="0" fontId="29" fillId="0" borderId="0"/>
    <xf numFmtId="0" fontId="127" fillId="0" borderId="0"/>
    <xf numFmtId="0" fontId="39" fillId="0" borderId="0"/>
    <xf numFmtId="0" fontId="33" fillId="9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106" fillId="0" borderId="47" applyNumberFormat="0" applyFill="0" applyAlignment="0" applyProtection="0">
      <alignment vertical="center"/>
    </xf>
    <xf numFmtId="0" fontId="64" fillId="8" borderId="42" applyNumberForma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3" fontId="39" fillId="0" borderId="0"/>
    <xf numFmtId="0" fontId="11" fillId="0" borderId="0"/>
    <xf numFmtId="3" fontId="39" fillId="0" borderId="0"/>
    <xf numFmtId="0" fontId="30" fillId="8" borderId="35" applyNumberFormat="0" applyAlignment="0" applyProtection="0">
      <alignment vertical="center"/>
    </xf>
    <xf numFmtId="0" fontId="31" fillId="0" borderId="3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7" fillId="0" borderId="0">
      <alignment vertical="center"/>
    </xf>
  </cellStyleXfs>
  <cellXfs count="140">
    <xf numFmtId="0" fontId="0" fillId="0" borderId="0" xfId="0"/>
    <xf numFmtId="49" fontId="6" fillId="0" borderId="0" xfId="1" applyNumberFormat="1" applyFont="1">
      <alignment vertical="center"/>
    </xf>
    <xf numFmtId="0" fontId="6" fillId="0" borderId="0" xfId="1" applyFont="1">
      <alignment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top" wrapText="1"/>
    </xf>
    <xf numFmtId="0" fontId="6" fillId="0" borderId="0" xfId="1" applyFont="1" applyAlignment="1">
      <alignment vertical="top"/>
    </xf>
    <xf numFmtId="0" fontId="9" fillId="0" borderId="0" xfId="1" applyFont="1">
      <alignment vertical="center"/>
    </xf>
    <xf numFmtId="0" fontId="6" fillId="2" borderId="7" xfId="1" applyFont="1" applyFill="1" applyBorder="1">
      <alignment vertical="center"/>
    </xf>
    <xf numFmtId="0" fontId="6" fillId="2" borderId="5" xfId="1" applyFont="1" applyFill="1" applyBorder="1">
      <alignment vertical="center"/>
    </xf>
    <xf numFmtId="0" fontId="6" fillId="2" borderId="6" xfId="1" applyFont="1" applyFill="1" applyBorder="1">
      <alignment vertical="center"/>
    </xf>
    <xf numFmtId="0" fontId="6" fillId="0" borderId="28" xfId="1" applyFont="1" applyBorder="1">
      <alignment vertical="center"/>
    </xf>
    <xf numFmtId="0" fontId="6" fillId="0" borderId="29" xfId="1" applyFont="1" applyBorder="1">
      <alignment vertical="center"/>
    </xf>
    <xf numFmtId="0" fontId="6" fillId="0" borderId="7" xfId="1" applyFont="1" applyBorder="1" applyAlignment="1">
      <alignment horizontal="center" vertical="center" shrinkToFit="1"/>
    </xf>
    <xf numFmtId="0" fontId="6" fillId="0" borderId="29" xfId="1" applyFont="1" applyBorder="1" applyAlignment="1">
      <alignment horizontal="center" vertical="center" shrinkToFit="1"/>
    </xf>
    <xf numFmtId="0" fontId="6" fillId="0" borderId="7" xfId="1" applyFont="1" applyBorder="1" applyAlignment="1">
      <alignment vertical="center" wrapText="1"/>
    </xf>
    <xf numFmtId="0" fontId="6" fillId="0" borderId="5" xfId="1" applyFont="1" applyBorder="1" applyAlignment="1">
      <alignment vertical="center" wrapText="1"/>
    </xf>
    <xf numFmtId="0" fontId="8" fillId="2" borderId="24" xfId="1" applyFont="1" applyFill="1" applyBorder="1" applyAlignment="1">
      <alignment horizontal="center" vertical="center"/>
    </xf>
    <xf numFmtId="0" fontId="6" fillId="0" borderId="28" xfId="1" applyFont="1" applyBorder="1" applyAlignment="1">
      <alignment horizontal="center" vertical="center" shrinkToFit="1"/>
    </xf>
    <xf numFmtId="0" fontId="8" fillId="2" borderId="25" xfId="1" applyFont="1" applyFill="1" applyBorder="1">
      <alignment vertical="center"/>
    </xf>
    <xf numFmtId="0" fontId="6" fillId="0" borderId="14" xfId="1" applyFont="1" applyBorder="1" applyAlignment="1">
      <alignment vertical="center" wrapText="1"/>
    </xf>
    <xf numFmtId="0" fontId="6" fillId="0" borderId="15" xfId="1" applyFont="1" applyBorder="1" applyAlignment="1">
      <alignment vertical="center" wrapText="1"/>
    </xf>
    <xf numFmtId="0" fontId="2" fillId="0" borderId="15" xfId="1" applyBorder="1">
      <alignment vertical="center"/>
    </xf>
    <xf numFmtId="0" fontId="2" fillId="0" borderId="16" xfId="1" applyBorder="1">
      <alignment vertical="center"/>
    </xf>
    <xf numFmtId="0" fontId="6" fillId="0" borderId="6" xfId="1" applyFont="1" applyBorder="1" applyAlignment="1">
      <alignment vertical="center" shrinkToFit="1"/>
    </xf>
    <xf numFmtId="0" fontId="6" fillId="0" borderId="7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6" xfId="1" applyFont="1" applyBorder="1">
      <alignment vertical="center"/>
    </xf>
    <xf numFmtId="0" fontId="6" fillId="0" borderId="30" xfId="1" applyFont="1" applyBorder="1" applyAlignment="1">
      <alignment horizontal="right" vertical="center"/>
    </xf>
    <xf numFmtId="0" fontId="6" fillId="0" borderId="28" xfId="1" applyFont="1" applyBorder="1" applyAlignment="1">
      <alignment horizontal="right" vertical="center" wrapText="1"/>
    </xf>
    <xf numFmtId="0" fontId="6" fillId="0" borderId="6" xfId="1" applyFont="1" applyBorder="1" applyAlignment="1">
      <alignment horizontal="right" vertical="center"/>
    </xf>
    <xf numFmtId="0" fontId="6" fillId="0" borderId="29" xfId="1" applyFont="1" applyBorder="1" applyAlignment="1">
      <alignment horizontal="right" vertical="center" wrapText="1"/>
    </xf>
    <xf numFmtId="0" fontId="2" fillId="0" borderId="5" xfId="1" applyBorder="1">
      <alignment vertical="center"/>
    </xf>
    <xf numFmtId="0" fontId="2" fillId="0" borderId="6" xfId="1" applyBorder="1">
      <alignment vertical="center"/>
    </xf>
    <xf numFmtId="49" fontId="6" fillId="0" borderId="5" xfId="1" applyNumberFormat="1" applyFont="1" applyBorder="1">
      <alignment vertical="center"/>
    </xf>
    <xf numFmtId="49" fontId="2" fillId="0" borderId="5" xfId="1" applyNumberFormat="1" applyBorder="1">
      <alignment vertical="center"/>
    </xf>
    <xf numFmtId="49" fontId="2" fillId="0" borderId="6" xfId="1" applyNumberFormat="1" applyBorder="1">
      <alignment vertical="center"/>
    </xf>
    <xf numFmtId="49" fontId="6" fillId="0" borderId="7" xfId="1" applyNumberFormat="1" applyFont="1" applyBorder="1">
      <alignment vertical="center"/>
    </xf>
    <xf numFmtId="49" fontId="6" fillId="0" borderId="6" xfId="1" applyNumberFormat="1" applyFont="1" applyBorder="1">
      <alignment vertical="center"/>
    </xf>
    <xf numFmtId="49" fontId="6" fillId="0" borderId="4" xfId="1" applyNumberFormat="1" applyFont="1" applyBorder="1">
      <alignment vertical="center"/>
    </xf>
    <xf numFmtId="49" fontId="6" fillId="0" borderId="5" xfId="1" quotePrefix="1" applyNumberFormat="1" applyFont="1" applyBorder="1">
      <alignment vertical="center"/>
    </xf>
    <xf numFmtId="0" fontId="6" fillId="4" borderId="6" xfId="1" applyFont="1" applyFill="1" applyBorder="1" applyAlignment="1">
      <alignment horizontal="right" vertical="center"/>
    </xf>
    <xf numFmtId="0" fontId="6" fillId="5" borderId="6" xfId="1" applyFont="1" applyFill="1" applyBorder="1" applyAlignment="1">
      <alignment horizontal="right" vertical="center"/>
    </xf>
    <xf numFmtId="14" fontId="6" fillId="0" borderId="7" xfId="1" applyNumberFormat="1" applyFont="1" applyBorder="1">
      <alignment vertical="center"/>
    </xf>
    <xf numFmtId="0" fontId="6" fillId="3" borderId="7" xfId="1" applyFont="1" applyFill="1" applyBorder="1">
      <alignment vertical="center"/>
    </xf>
    <xf numFmtId="0" fontId="6" fillId="3" borderId="6" xfId="1" applyFont="1" applyFill="1" applyBorder="1" applyAlignment="1">
      <alignment vertical="center" shrinkToFit="1"/>
    </xf>
    <xf numFmtId="0" fontId="6" fillId="3" borderId="5" xfId="1" applyFont="1" applyFill="1" applyBorder="1" applyAlignment="1">
      <alignment vertical="center" wrapText="1"/>
    </xf>
    <xf numFmtId="0" fontId="6" fillId="3" borderId="15" xfId="1" applyFont="1" applyFill="1" applyBorder="1" applyAlignment="1">
      <alignment vertical="center" wrapText="1"/>
    </xf>
    <xf numFmtId="0" fontId="13" fillId="0" borderId="7" xfId="3" applyBorder="1" applyAlignment="1" applyProtection="1">
      <alignment vertical="center"/>
    </xf>
    <xf numFmtId="0" fontId="14" fillId="0" borderId="15" xfId="1" applyFont="1" applyBorder="1">
      <alignment vertical="center"/>
    </xf>
    <xf numFmtId="0" fontId="8" fillId="0" borderId="5" xfId="1" applyFont="1" applyBorder="1" applyAlignment="1">
      <alignment vertical="center" wrapText="1"/>
    </xf>
    <xf numFmtId="0" fontId="10" fillId="0" borderId="7" xfId="1" applyFont="1" applyBorder="1">
      <alignment vertical="center"/>
    </xf>
    <xf numFmtId="0" fontId="16" fillId="0" borderId="7" xfId="1" applyFont="1" applyBorder="1">
      <alignment vertical="center"/>
    </xf>
    <xf numFmtId="49" fontId="6" fillId="0" borderId="4" xfId="1" applyNumberFormat="1" applyFont="1" applyBorder="1">
      <alignment vertical="center"/>
    </xf>
    <xf numFmtId="0" fontId="6" fillId="0" borderId="0" xfId="4" applyFont="1"/>
    <xf numFmtId="0" fontId="6" fillId="0" borderId="1" xfId="4" applyFont="1" applyBorder="1" applyAlignment="1">
      <alignment horizontal="centerContinuous" vertical="center"/>
    </xf>
    <xf numFmtId="0" fontId="6" fillId="0" borderId="2" xfId="4" applyFont="1" applyBorder="1" applyAlignment="1">
      <alignment horizontal="centerContinuous" vertical="center"/>
    </xf>
    <xf numFmtId="0" fontId="6" fillId="0" borderId="3" xfId="4" applyFont="1" applyBorder="1" applyAlignment="1">
      <alignment horizontal="centerContinuous" vertical="center"/>
    </xf>
    <xf numFmtId="0" fontId="6" fillId="0" borderId="12" xfId="4" applyFont="1" applyBorder="1" applyAlignment="1">
      <alignment horizontal="centerContinuous" vertical="center"/>
    </xf>
    <xf numFmtId="0" fontId="6" fillId="0" borderId="0" xfId="4" applyFont="1" applyBorder="1" applyAlignment="1">
      <alignment horizontal="centerContinuous" vertical="center"/>
    </xf>
    <xf numFmtId="0" fontId="6" fillId="0" borderId="13" xfId="4" applyFont="1" applyBorder="1" applyAlignment="1">
      <alignment horizontal="centerContinuous" vertical="center"/>
    </xf>
    <xf numFmtId="0" fontId="9" fillId="0" borderId="12" xfId="4" applyFont="1" applyBorder="1" applyAlignment="1">
      <alignment horizontal="centerContinuous" vertical="center"/>
    </xf>
    <xf numFmtId="0" fontId="8" fillId="0" borderId="0" xfId="4" applyFont="1" applyBorder="1" applyAlignment="1">
      <alignment horizontal="centerContinuous" vertical="center"/>
    </xf>
    <xf numFmtId="0" fontId="6" fillId="0" borderId="20" xfId="4" applyFont="1" applyBorder="1" applyAlignment="1">
      <alignment horizontal="centerContinuous" vertical="center"/>
    </xf>
    <xf numFmtId="0" fontId="6" fillId="0" borderId="21" xfId="4" applyFont="1" applyBorder="1" applyAlignment="1">
      <alignment horizontal="centerContinuous" vertical="center"/>
    </xf>
    <xf numFmtId="0" fontId="6" fillId="0" borderId="22" xfId="4" applyFont="1" applyBorder="1" applyAlignment="1">
      <alignment horizontal="centerContinuous" vertical="center"/>
    </xf>
    <xf numFmtId="0" fontId="128" fillId="0" borderId="0" xfId="627" applyFont="1" applyAlignment="1">
      <alignment vertical="center"/>
    </xf>
    <xf numFmtId="0" fontId="130" fillId="0" borderId="0" xfId="626" applyFont="1" applyAlignment="1">
      <alignment horizontal="left" vertical="center"/>
    </xf>
    <xf numFmtId="0" fontId="131" fillId="0" borderId="0" xfId="626" applyFont="1" applyAlignment="1">
      <alignment vertical="center"/>
    </xf>
    <xf numFmtId="0" fontId="132" fillId="0" borderId="0" xfId="627" applyFont="1" applyAlignment="1">
      <alignment vertical="center"/>
    </xf>
    <xf numFmtId="0" fontId="131" fillId="0" borderId="0" xfId="626" applyFont="1" applyAlignment="1">
      <alignment horizontal="left" vertical="center"/>
    </xf>
    <xf numFmtId="0" fontId="133" fillId="41" borderId="0" xfId="663" applyFont="1" applyFill="1" applyAlignment="1">
      <alignment horizontal="center" vertical="center"/>
    </xf>
    <xf numFmtId="0" fontId="134" fillId="0" borderId="0" xfId="663" applyFont="1" applyAlignment="1">
      <alignment horizontal="center" vertical="center"/>
    </xf>
    <xf numFmtId="0" fontId="134" fillId="0" borderId="0" xfId="663" applyFont="1">
      <alignment vertical="center"/>
    </xf>
    <xf numFmtId="0" fontId="135" fillId="0" borderId="29" xfId="663" applyFont="1" applyFill="1" applyBorder="1" applyAlignment="1">
      <alignment horizontal="center" vertical="center"/>
    </xf>
    <xf numFmtId="0" fontId="135" fillId="0" borderId="29" xfId="663" applyFont="1" applyFill="1" applyBorder="1" applyAlignment="1">
      <alignment vertical="center"/>
    </xf>
    <xf numFmtId="0" fontId="135" fillId="0" borderId="29" xfId="663" applyFont="1" applyBorder="1" applyAlignment="1">
      <alignment horizontal="center" vertical="center"/>
    </xf>
    <xf numFmtId="0" fontId="135" fillId="0" borderId="29" xfId="663" applyFont="1" applyBorder="1" applyAlignment="1">
      <alignment vertical="center"/>
    </xf>
    <xf numFmtId="0" fontId="135" fillId="0" borderId="29" xfId="663" applyFont="1" applyFill="1" applyBorder="1">
      <alignment vertical="center"/>
    </xf>
    <xf numFmtId="0" fontId="135" fillId="0" borderId="29" xfId="663" applyFont="1" applyBorder="1">
      <alignment vertical="center"/>
    </xf>
    <xf numFmtId="49" fontId="6" fillId="0" borderId="7" xfId="1" applyNumberFormat="1" applyFont="1" applyBorder="1" applyAlignment="1">
      <alignment horizontal="center" vertical="top"/>
    </xf>
    <xf numFmtId="49" fontId="6" fillId="0" borderId="5" xfId="1" applyNumberFormat="1" applyFont="1" applyBorder="1" applyAlignment="1">
      <alignment horizontal="center" vertical="top"/>
    </xf>
    <xf numFmtId="49" fontId="6" fillId="0" borderId="6" xfId="1" applyNumberFormat="1" applyFont="1" applyBorder="1" applyAlignment="1">
      <alignment horizontal="center" vertical="top"/>
    </xf>
    <xf numFmtId="0" fontId="6" fillId="0" borderId="7" xfId="1" applyFont="1" applyBorder="1" applyAlignment="1">
      <alignment vertical="top"/>
    </xf>
    <xf numFmtId="0" fontId="6" fillId="0" borderId="5" xfId="1" applyFont="1" applyBorder="1" applyAlignment="1">
      <alignment vertical="top"/>
    </xf>
    <xf numFmtId="0" fontId="6" fillId="0" borderId="6" xfId="1" applyFont="1" applyBorder="1" applyAlignment="1">
      <alignment vertical="top"/>
    </xf>
    <xf numFmtId="0" fontId="6" fillId="0" borderId="7" xfId="1" applyFont="1" applyBorder="1" applyAlignment="1">
      <alignment vertical="top" wrapText="1"/>
    </xf>
    <xf numFmtId="0" fontId="6" fillId="2" borderId="7" xfId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/>
    </xf>
    <xf numFmtId="0" fontId="6" fillId="2" borderId="6" xfId="1" applyFont="1" applyFill="1" applyBorder="1" applyAlignment="1">
      <alignment horizontal="center" vertical="center"/>
    </xf>
    <xf numFmtId="0" fontId="6" fillId="2" borderId="7" xfId="1" applyFont="1" applyFill="1" applyBorder="1">
      <alignment vertical="center"/>
    </xf>
    <xf numFmtId="0" fontId="6" fillId="2" borderId="5" xfId="1" applyFont="1" applyFill="1" applyBorder="1">
      <alignment vertical="center"/>
    </xf>
    <xf numFmtId="0" fontId="6" fillId="2" borderId="6" xfId="1" applyFont="1" applyFill="1" applyBorder="1">
      <alignment vertical="center"/>
    </xf>
    <xf numFmtId="14" fontId="6" fillId="0" borderId="7" xfId="1" applyNumberFormat="1" applyFont="1" applyBorder="1" applyAlignment="1">
      <alignment vertical="top"/>
    </xf>
    <xf numFmtId="0" fontId="133" fillId="42" borderId="29" xfId="663" applyFont="1" applyFill="1" applyBorder="1" applyAlignment="1">
      <alignment horizontal="center" vertical="center"/>
    </xf>
    <xf numFmtId="0" fontId="133" fillId="42" borderId="8" xfId="663" applyFont="1" applyFill="1" applyBorder="1" applyAlignment="1">
      <alignment horizontal="center" vertical="center" wrapText="1"/>
    </xf>
    <xf numFmtId="0" fontId="17" fillId="0" borderId="23" xfId="663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0" fontId="8" fillId="2" borderId="11" xfId="1" applyFont="1" applyFill="1" applyBorder="1" applyAlignment="1">
      <alignment horizontal="center" vertical="center"/>
    </xf>
    <xf numFmtId="0" fontId="8" fillId="2" borderId="32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8" fillId="2" borderId="33" xfId="1" applyFont="1" applyFill="1" applyBorder="1" applyAlignment="1">
      <alignment horizontal="center" vertical="center"/>
    </xf>
    <xf numFmtId="0" fontId="12" fillId="2" borderId="7" xfId="2" applyFont="1" applyFill="1" applyBorder="1" applyAlignment="1">
      <alignment horizontal="center" vertical="center" shrinkToFit="1"/>
    </xf>
    <xf numFmtId="0" fontId="12" fillId="2" borderId="5" xfId="2" applyFont="1" applyFill="1" applyBorder="1" applyAlignment="1">
      <alignment horizontal="center" vertical="center" shrinkToFit="1"/>
    </xf>
    <xf numFmtId="0" fontId="12" fillId="2" borderId="6" xfId="2" applyFont="1" applyFill="1" applyBorder="1" applyAlignment="1">
      <alignment horizontal="center" vertical="center" shrinkToFit="1"/>
    </xf>
    <xf numFmtId="0" fontId="8" fillId="2" borderId="8" xfId="1" applyFont="1" applyFill="1" applyBorder="1" applyAlignment="1">
      <alignment horizontal="center" vertical="center" shrinkToFit="1"/>
    </xf>
    <xf numFmtId="0" fontId="8" fillId="2" borderId="31" xfId="1" applyFont="1" applyFill="1" applyBorder="1" applyAlignment="1">
      <alignment horizontal="center" vertical="center" shrinkToFit="1"/>
    </xf>
    <xf numFmtId="0" fontId="8" fillId="2" borderId="8" xfId="1" applyFont="1" applyFill="1" applyBorder="1" applyAlignment="1">
      <alignment horizontal="center" vertical="center"/>
    </xf>
    <xf numFmtId="0" fontId="8" fillId="2" borderId="31" xfId="1" applyFont="1" applyFill="1" applyBorder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 wrapText="1"/>
    </xf>
    <xf numFmtId="49" fontId="3" fillId="0" borderId="2" xfId="1" applyNumberFormat="1" applyFont="1" applyBorder="1" applyAlignment="1">
      <alignment horizontal="center" vertical="center" wrapText="1"/>
    </xf>
    <xf numFmtId="49" fontId="3" fillId="0" borderId="3" xfId="1" applyNumberFormat="1" applyFont="1" applyBorder="1" applyAlignment="1">
      <alignment horizontal="center" vertical="center" wrapText="1"/>
    </xf>
    <xf numFmtId="49" fontId="3" fillId="0" borderId="12" xfId="1" applyNumberFormat="1" applyFont="1" applyBorder="1" applyAlignment="1">
      <alignment horizontal="center" vertical="center" wrapText="1"/>
    </xf>
    <xf numFmtId="49" fontId="3" fillId="0" borderId="0" xfId="1" applyNumberFormat="1" applyFont="1" applyAlignment="1">
      <alignment horizontal="center" vertical="center" wrapText="1"/>
    </xf>
    <xf numFmtId="49" fontId="3" fillId="0" borderId="13" xfId="1" applyNumberFormat="1" applyFont="1" applyBorder="1" applyAlignment="1">
      <alignment horizontal="center" vertical="center" wrapText="1"/>
    </xf>
    <xf numFmtId="49" fontId="3" fillId="0" borderId="20" xfId="1" applyNumberFormat="1" applyFont="1" applyBorder="1" applyAlignment="1">
      <alignment horizontal="center" vertical="center" wrapText="1"/>
    </xf>
    <xf numFmtId="49" fontId="3" fillId="0" borderId="21" xfId="1" applyNumberFormat="1" applyFont="1" applyBorder="1" applyAlignment="1">
      <alignment horizontal="center" vertical="center" wrapText="1"/>
    </xf>
    <xf numFmtId="49" fontId="3" fillId="0" borderId="22" xfId="1" applyNumberFormat="1" applyFont="1" applyBorder="1" applyAlignment="1">
      <alignment horizontal="center" vertical="center" wrapText="1"/>
    </xf>
    <xf numFmtId="0" fontId="8" fillId="2" borderId="25" xfId="1" applyFont="1" applyFill="1" applyBorder="1" applyAlignment="1">
      <alignment horizontal="center" vertical="center" shrinkToFit="1"/>
    </xf>
    <xf numFmtId="0" fontId="8" fillId="2" borderId="26" xfId="1" applyFont="1" applyFill="1" applyBorder="1" applyAlignment="1">
      <alignment horizontal="center" vertical="center" shrinkToFit="1"/>
    </xf>
    <xf numFmtId="0" fontId="8" fillId="2" borderId="27" xfId="1" applyFont="1" applyFill="1" applyBorder="1" applyAlignment="1">
      <alignment horizontal="center" vertical="center" shrinkToFit="1"/>
    </xf>
    <xf numFmtId="0" fontId="8" fillId="2" borderId="24" xfId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27" xfId="1" applyFont="1" applyFill="1" applyBorder="1" applyAlignment="1">
      <alignment horizontal="center" vertical="center"/>
    </xf>
    <xf numFmtId="0" fontId="8" fillId="2" borderId="8" xfId="1" applyFont="1" applyFill="1" applyBorder="1" applyAlignment="1">
      <alignment horizontal="center" vertical="center" wrapText="1"/>
    </xf>
    <xf numFmtId="0" fontId="8" fillId="2" borderId="31" xfId="1" applyFont="1" applyFill="1" applyBorder="1" applyAlignment="1">
      <alignment horizontal="center" vertical="center" wrapText="1"/>
    </xf>
    <xf numFmtId="49" fontId="6" fillId="0" borderId="9" xfId="1" applyNumberFormat="1" applyFont="1" applyBorder="1" applyAlignment="1">
      <alignment horizontal="center" vertical="distributed"/>
    </xf>
    <xf numFmtId="49" fontId="6" fillId="0" borderId="11" xfId="1" applyNumberFormat="1" applyFont="1" applyBorder="1" applyAlignment="1">
      <alignment horizontal="center" vertical="distributed"/>
    </xf>
    <xf numFmtId="49" fontId="6" fillId="0" borderId="18" xfId="1" applyNumberFormat="1" applyFont="1" applyBorder="1" applyAlignment="1">
      <alignment horizontal="center" vertical="distributed"/>
    </xf>
    <xf numFmtId="49" fontId="6" fillId="0" borderId="19" xfId="1" applyNumberFormat="1" applyFont="1" applyBorder="1" applyAlignment="1">
      <alignment horizontal="center" vertical="distributed"/>
    </xf>
    <xf numFmtId="49" fontId="6" fillId="0" borderId="14" xfId="1" applyNumberFormat="1" applyFont="1" applyBorder="1" applyAlignment="1">
      <alignment horizontal="center" vertical="distributed"/>
    </xf>
    <xf numFmtId="49" fontId="6" fillId="0" borderId="16" xfId="1" applyNumberFormat="1" applyFont="1" applyBorder="1" applyAlignment="1">
      <alignment horizontal="center" vertical="distributed"/>
    </xf>
    <xf numFmtId="49" fontId="6" fillId="2" borderId="4" xfId="1" applyNumberFormat="1" applyFont="1" applyFill="1" applyBorder="1" applyAlignment="1">
      <alignment horizontal="center" vertical="center"/>
    </xf>
    <xf numFmtId="49" fontId="6" fillId="2" borderId="5" xfId="1" applyNumberFormat="1" applyFont="1" applyFill="1" applyBorder="1" applyAlignment="1">
      <alignment horizontal="center" vertical="center"/>
    </xf>
    <xf numFmtId="49" fontId="2" fillId="2" borderId="5" xfId="1" applyNumberFormat="1" applyFill="1" applyBorder="1" applyAlignment="1">
      <alignment horizontal="center" vertical="center"/>
    </xf>
    <xf numFmtId="49" fontId="6" fillId="2" borderId="7" xfId="1" applyNumberFormat="1" applyFont="1" applyFill="1" applyBorder="1" applyAlignment="1">
      <alignment horizontal="center" vertical="center"/>
    </xf>
    <xf numFmtId="49" fontId="6" fillId="2" borderId="6" xfId="1" applyNumberFormat="1" applyFont="1" applyFill="1" applyBorder="1" applyAlignment="1">
      <alignment horizontal="center" vertical="center"/>
    </xf>
    <xf numFmtId="49" fontId="7" fillId="2" borderId="8" xfId="1" applyNumberFormat="1" applyFont="1" applyFill="1" applyBorder="1" applyAlignment="1">
      <alignment horizontal="center" vertical="center" textRotation="255" wrapText="1"/>
    </xf>
    <xf numFmtId="49" fontId="7" fillId="2" borderId="17" xfId="1" applyNumberFormat="1" applyFont="1" applyFill="1" applyBorder="1" applyAlignment="1">
      <alignment horizontal="center" vertical="center" textRotation="255" wrapText="1"/>
    </xf>
    <xf numFmtId="49" fontId="7" fillId="2" borderId="23" xfId="1" applyNumberFormat="1" applyFont="1" applyFill="1" applyBorder="1" applyAlignment="1">
      <alignment horizontal="center" vertical="center" textRotation="255" wrapText="1"/>
    </xf>
  </cellXfs>
  <cellStyles count="664">
    <cellStyle name="---------------------------------------------" xfId="5"/>
    <cellStyle name="〰" xfId="6"/>
    <cellStyle name="〰〰" xfId="7"/>
    <cellStyle name="〰〰　0" xfId="8"/>
    <cellStyle name="--------------------------------------------- 2" xfId="9"/>
    <cellStyle name="_x0009__x000b_1,_x0009_" xfId="10"/>
    <cellStyle name="_x000c_ーセン_x000c_" xfId="11"/>
    <cellStyle name="?" xfId="12"/>
    <cellStyle name="??" xfId="13"/>
    <cellStyle name="?? [0.00]_PERSONAL" xfId="14"/>
    <cellStyle name="???? [0.00]_PERSONAL" xfId="15"/>
    <cellStyle name="????_PERSONAL" xfId="16"/>
    <cellStyle name="??_PERSONAL" xfId="17"/>
    <cellStyle name="?_QA_fromNSSOLto基盤(MCIF)" xfId="18"/>
    <cellStyle name="?_QA_fromNSSOLto基盤(MCIF)_20100730（回答）" xfId="19"/>
    <cellStyle name="?_QA_fromNSSOLto基盤(MCIF)_20100730（回答）_QA_fromNSSOLto基盤(MCIF)" xfId="20"/>
    <cellStyle name="?_QA_fromNSSOLto基盤(MCIF)_20100730（回答）_QA_fromNSSOLto基盤(MCIF)1" xfId="21"/>
    <cellStyle name="?_QA_fromNSSOLto基盤(MCIF)_20100730（回答）_QA_fromNSSOLto基盤(MCIF)1_QA_fromNSSOLto基盤(MCIF)" xfId="22"/>
    <cellStyle name="?_QA_fromNSSOLto基盤(MCIF)_20100730（回答）_QA_fromNSSOLto基盤(MCIF)1_QA_fromNSSOLto基盤(MCIF)_1" xfId="23"/>
    <cellStyle name="?_QA_fromNSSOLto基盤(MCIF)_20100730（回答）_QA_fromNSSOLto基盤(MCIF)1_QA_fromNSSOLto基盤(MCIF)_QA_fromNSSOLto基盤(MCIF)" xfId="24"/>
    <cellStyle name="?_QA_fromNSSOLto基盤(MCIF)_QA_fromNSSOLto基盤(MCIF)" xfId="25"/>
    <cellStyle name="?y" xfId="26"/>
    <cellStyle name="?㼀㼿㼿?" xfId="27"/>
    <cellStyle name="[モジュール構造v01.xls]SubSys_MTX" xfId="28"/>
    <cellStyle name="[モジュール構造v01.xls]SubSys間Ｆｉｌｅ" xfId="29"/>
    <cellStyle name="_【Re-bid】新案件申請ファイル作成用（30製品分）⑥" xfId="30"/>
    <cellStyle name="_【特別割引価格承認通知書20特価対象外含】" xfId="31"/>
    <cellStyle name="_016_ARCserve導入パラメータ070106" xfId="32"/>
    <cellStyle name="_021_RHEL3導入パラメータ070106" xfId="33"/>
    <cellStyle name="_022_SLES9導入パラメータ070106" xfId="34"/>
    <cellStyle name="_024_DB2導入パラメータ_Linux_070106" xfId="35"/>
    <cellStyle name="_031_NetVault導入パラメータ070106" xfId="36"/>
    <cellStyle name="_2005 server center 活動状況" xfId="37"/>
    <cellStyle name="_DSジョブ仕様書（目的別DBコア顧客）" xfId="38"/>
    <cellStyle name="_QA ・課題管理票（FJ提示課題一覧）【戦略インフラ】_091208" xfId="39"/>
    <cellStyle name="_QA ・課題管理票（FJ提示課題一覧）【戦略インフラ】_091208 2" xfId="40"/>
    <cellStyle name="_QA ・課題管理票（FJ提示課題一覧）【戦略インフラ】_091208 2_DataStageガイド整備_20120510" xfId="41"/>
    <cellStyle name="_QA ・課題管理票（FJ提示課題一覧）【戦略インフラ】_091208 2_DataStage開発ガイド_20111003" xfId="42"/>
    <cellStyle name="_QA ・課題管理票（FJ提示課題一覧）【戦略インフラ】_091208 2_DataStage開発ガイド_20111003(Lookup_NO_SORTのための修正版）" xfId="43"/>
    <cellStyle name="_QA ・課題管理票（FJ提示課題一覧）【戦略インフラ】_091208 2_DataStage開発ガイド_20111003_基本設計追加版 - コピー" xfId="44"/>
    <cellStyle name="_QA ・課題管理票（FJ提示課題一覧）【戦略インフラ】_091208 2_DataStage開発ガイド_20111209" xfId="45"/>
    <cellStyle name="_QA ・課題管理票（FJ提示課題一覧）【戦略インフラ】_091208 2_DataStage開発ガイド_20120111_抜粋" xfId="46"/>
    <cellStyle name="_QA ・課題管理票（FJ提示課題一覧）【戦略インフラ】_091208 2_DataStage開発ガイド_20120118-20120315" xfId="47"/>
    <cellStyle name="_QA ・課題管理票（FJ提示課題一覧）【戦略インフラ】_091208 2_DataStage開発ガイド_20120315_20120525" xfId="48"/>
    <cellStyle name="_QA ・課題管理票（FJ提示課題一覧）【戦略インフラ】_091208 2_DataStage開発ガイド_20120823.mod" xfId="49"/>
    <cellStyle name="_QA ・課題管理票（FJ提示課題一覧）【戦略インフラ】_091208 2_DataStage開発ガイド_20120828" xfId="50"/>
    <cellStyle name="_QA ・課題管理票（FJ提示課題一覧）【戦略インフラ】_091208 2_DataStage開発ガイド_3-2 (version 1)" xfId="51"/>
    <cellStyle name="_QA ・課題管理票（FJ提示課題一覧）【戦略インフラ】_091208 2_DataStage開発ガイド_3-2 目次案(version 1)" xfId="52"/>
    <cellStyle name="_QA ・課題管理票（FJ提示課題一覧）【戦略インフラ】_091208 2_DataStage開発者ガイド_9.3.付属3_修正版_20110531NSSOLコメント" xfId="53"/>
    <cellStyle name="_QA ・課題管理票（FJ提示課題一覧）【戦略インフラ】_091208 2_DataStage設計ガイド_20111222" xfId="54"/>
    <cellStyle name="_QA ・課題管理票（FJ提示課題一覧）【戦略インフラ】_091208 2_DataStage設計ガイド_20120606" xfId="55"/>
    <cellStyle name="_w2k3ヒアリングシート_20060519" xfId="56"/>
    <cellStyle name="_アクセス記録強化_20060223" xfId="57"/>
    <cellStyle name="_ビュー定義書（営業推進サポート向けコア顧客）" xfId="58"/>
    <cellStyle name="_プロセス監視ヒアリングシート" xfId="59"/>
    <cellStyle name="_リソース監視ヒアリングシート" xfId="60"/>
    <cellStyle name="_基盤設計書_tmp（根岸編集） 20060519" xfId="61"/>
    <cellStyle name="_京西開発範囲確定書（2版）" xfId="62"/>
    <cellStyle name="_京西開発範囲確定書（２版）" xfId="63"/>
    <cellStyle name="_京西開発範囲確定書（2版）_1" xfId="64"/>
    <cellStyle name="_京西開発範囲確定書（２版）_1" xfId="65"/>
    <cellStyle name="_京西開発範囲確定書（2版）_2" xfId="66"/>
    <cellStyle name="_京西開発範囲確定書（２版）_2" xfId="67"/>
    <cellStyle name="_京西開発範囲確定書（2版）_3" xfId="68"/>
    <cellStyle name="_京西開発範囲確定書（２版）_3" xfId="69"/>
    <cellStyle name="_京西開発範囲確定書（2版）_4" xfId="70"/>
    <cellStyle name="_京西開発範囲確定書（２版）_4" xfId="71"/>
    <cellStyle name="_京西開発範囲確定書（2版）_5" xfId="72"/>
    <cellStyle name="_京西開発範囲確定書（２版）_5" xfId="73"/>
    <cellStyle name="_京西開発範囲確定書（２版）_6" xfId="74"/>
    <cellStyle name="_詳細設計_設定ファイル設計_20100301" xfId="75"/>
    <cellStyle name="_詳細設計_設定ファイル設計_20100301_~6701473" xfId="76"/>
    <cellStyle name="_詳細設計_設定ファイル設計_20100301_~6701473_基本設計_個別基本_個別元帳テーブル一覧" xfId="77"/>
    <cellStyle name="_詳細設計_設定ファイル設計_20100301_~6701473_基本設計_個別基本_個別元帳テーブル一覧_基本設計_個別基本_個別元帳テーブル一覧" xfId="78"/>
    <cellStyle name="_詳細設計_設定ファイル設計_20100301_１～５" xfId="79"/>
    <cellStyle name="_詳細設計_設定ファイル設計_20100301_１～５_基本設計_個別基本_個別元帳テーブル一覧" xfId="80"/>
    <cellStyle name="_詳細設計_設定ファイル設計_20100301_１～５_基本設計_個別基本_個別元帳テーブル一覧_基本設計_個別基本_個別元帳テーブル一覧" xfId="81"/>
    <cellStyle name="_詳細設計_設定ファイル設計_20100301_DataStageジョブID_PD書" xfId="82"/>
    <cellStyle name="_詳細設計_設定ファイル設計_20100301_DataStageジョブID_PD書_基本設計_個別基本_個別元帳テーブル一覧" xfId="83"/>
    <cellStyle name="_詳細設計_設定ファイル設計_20100301_DataStageジョブID_PD書_基本設計_個別基本_個別元帳テーブル一覧_基本設計_個別基本_個別元帳テーブル一覧" xfId="84"/>
    <cellStyle name="_詳細設計_設定ファイル設計_20100301_J1AD0000-0117_PD書" xfId="85"/>
    <cellStyle name="_詳細設計_設定ファイル設計_20100301_J1AD0000-0117_PD書_基本設計_個別基本_個別元帳テーブル一覧" xfId="86"/>
    <cellStyle name="_詳細設計_設定ファイル設計_20100301_J1AD0000-0117_PD書_基本設計_個別基本_個別元帳テーブル一覧_基本設計_個別基本_個別元帳テーブル一覧" xfId="87"/>
    <cellStyle name="_詳細設計_設定ファイル設計_20100301_J1AD0460_PD書" xfId="88"/>
    <cellStyle name="_詳細設計_設定ファイル設計_20100301_J1AD0460_PD書_基本設計_個別基本_個別元帳テーブル一覧" xfId="89"/>
    <cellStyle name="_詳細設計_設定ファイル設計_20100301_J1AD0460_PD書_基本設計_個別基本_個別元帳テーブル一覧_基本設計_個別基本_個別元帳テーブル一覧" xfId="90"/>
    <cellStyle name="_詳細設計_設定ファイル設計_20100301_J1AD0482_PD書" xfId="91"/>
    <cellStyle name="_詳細設計_設定ファイル設計_20100301_J1AD0482_PD書_基本設計_個別基本_個別元帳テーブル一覧" xfId="92"/>
    <cellStyle name="_詳細設計_設定ファイル設計_20100301_J1AD0482_PD書_基本設計_個別基本_個別元帳テーブル一覧_基本設計_個別基本_個別元帳テーブル一覧" xfId="93"/>
    <cellStyle name="_詳細設計_設定ファイル設計_20100301_J1AD0703_PD書_20131101" xfId="94"/>
    <cellStyle name="_詳細設計_設定ファイル設計_20100301_J1AD0703_PD書_20131101_基本設計_個別基本_個別元帳テーブル一覧" xfId="95"/>
    <cellStyle name="_詳細設計_設定ファイル設計_20100301_J1AD0703_PD書_20131101_基本設計_個別基本_個別元帳テーブル一覧_基本設計_個別基本_個別元帳テーブル一覧" xfId="96"/>
    <cellStyle name="_詳細設計_設定ファイル設計_20100301_ビュー定義書（営業推進サポート向けコア顧客）" xfId="97"/>
    <cellStyle name="_詳細設計_設定ファイル設計_20100301_ビュー定義書（営業推進サポート向けコア顧客）_~6701473" xfId="98"/>
    <cellStyle name="_詳細設計_設定ファイル設計_20100301_ビュー定義書（営業推進サポート向けコア顧客）_~6701473_基本設計_個別基本_個別元帳テーブル一覧" xfId="99"/>
    <cellStyle name="_詳細設計_設定ファイル設計_20100301_ビュー定義書（営業推進サポート向けコア顧客）_~6701473_基本設計_個別基本_個別元帳テーブル一覧_基本設計_個別基本_個別元帳テーブル一覧" xfId="100"/>
    <cellStyle name="_詳細設計_設定ファイル設計_20100301_ビュー定義書（営業推進サポート向けコア顧客）_１～５" xfId="101"/>
    <cellStyle name="_詳細設計_設定ファイル設計_20100301_ビュー定義書（営業推進サポート向けコア顧客）_１～５_基本設計_個別基本_個別元帳テーブル一覧" xfId="102"/>
    <cellStyle name="_詳細設計_設定ファイル設計_20100301_ビュー定義書（営業推進サポート向けコア顧客）_１～５_基本設計_個別基本_個別元帳テーブル一覧_基本設計_個別基本_個別元帳テーブル一覧" xfId="103"/>
    <cellStyle name="_詳細設計_設定ファイル設計_20100301_ビュー定義書（営業推進サポート向けコア顧客）_DataStageジョブID_PD書" xfId="104"/>
    <cellStyle name="_詳細設計_設定ファイル設計_20100301_ビュー定義書（営業推進サポート向けコア顧客）_DataStageジョブID_PD書_基本設計_個別基本_個別元帳テーブル一覧" xfId="105"/>
    <cellStyle name="_詳細設計_設定ファイル設計_20100301_ビュー定義書（営業推進サポート向けコア顧客）_DataStageジョブID_PD書_基本設計_個別基本_個別元帳テーブル一覧_基本設計_個別基本_個別元帳テーブル一覧" xfId="106"/>
    <cellStyle name="_詳細設計_設定ファイル設計_20100301_ビュー定義書（営業推進サポート向けコア顧客）_J1AD0000-0117_PD書" xfId="107"/>
    <cellStyle name="_詳細設計_設定ファイル設計_20100301_ビュー定義書（営業推進サポート向けコア顧客）_J1AD0000-0117_PD書_基本設計_個別基本_個別元帳テーブル一覧" xfId="108"/>
    <cellStyle name="_詳細設計_設定ファイル設計_20100301_ビュー定義書（営業推進サポート向けコア顧客）_J1AD0000-0117_PD書_基本設計_個別基本_個別元帳テーブル一覧_基本設計_個別基本_個別元帳テーブル一覧" xfId="109"/>
    <cellStyle name="_詳細設計_設定ファイル設計_20100301_ビュー定義書（営業推進サポート向けコア顧客）_J1AD0460_PD書" xfId="110"/>
    <cellStyle name="_詳細設計_設定ファイル設計_20100301_ビュー定義書（営業推進サポート向けコア顧客）_J1AD0460_PD書_基本設計_個別基本_個別元帳テーブル一覧" xfId="111"/>
    <cellStyle name="_詳細設計_設定ファイル設計_20100301_ビュー定義書（営業推進サポート向けコア顧客）_J1AD0460_PD書_基本設計_個別基本_個別元帳テーブル一覧_基本設計_個別基本_個別元帳テーブル一覧" xfId="112"/>
    <cellStyle name="_詳細設計_設定ファイル設計_20100301_ビュー定義書（営業推進サポート向けコア顧客）_J1AD0482_PD書" xfId="113"/>
    <cellStyle name="_詳細設計_設定ファイル設計_20100301_ビュー定義書（営業推進サポート向けコア顧客）_J1AD0482_PD書_基本設計_個別基本_個別元帳テーブル一覧" xfId="114"/>
    <cellStyle name="_詳細設計_設定ファイル設計_20100301_ビュー定義書（営業推進サポート向けコア顧客）_J1AD0482_PD書_基本設計_個別基本_個別元帳テーブル一覧_基本設計_個別基本_個別元帳テーブル一覧" xfId="115"/>
    <cellStyle name="_詳細設計_設定ファイル設計_20100301_ビュー定義書（営業推進サポート向けコア顧客）_J1AD0703_PD書_20131101" xfId="116"/>
    <cellStyle name="_詳細設計_設定ファイル設計_20100301_ビュー定義書（営業推進サポート向けコア顧客）_J1AD0703_PD書_20131101_基本設計_個別基本_個別元帳テーブル一覧" xfId="117"/>
    <cellStyle name="_詳細設計_設定ファイル設計_20100301_ビュー定義書（営業推進サポート向けコア顧客）_J1AD0703_PD書_20131101_基本設計_個別基本_個別元帳テーブル一覧_基本設計_個別基本_個別元帳テーブル一覧" xfId="118"/>
    <cellStyle name="_詳細設計_設定ファイル設計_20100301_ビュー定義書（営業推進サポート向けコア顧客）_基本設計_個別基本_個別元帳テーブル一覧" xfId="119"/>
    <cellStyle name="_詳細設計_設定ファイル設計_20100301_ビュー定義書（営業推進サポート向けコア顧客）_基本設計_個別基本_個別元帳テーブル一覧_基本設計_個別基本_個別元帳テーブル一覧" xfId="120"/>
    <cellStyle name="_詳細設計_設定ファイル設計_20100301_基本設計_個別基本_個別元帳テーブル一覧" xfId="121"/>
    <cellStyle name="_詳細設計_設定ファイル設計_20100301_基本設計_個別基本_個別元帳テーブル一覧_基本設計_個別基本_個別元帳テーブル一覧" xfId="122"/>
    <cellStyle name="_他システム接続要件(戦略DM)2" xfId="123"/>
    <cellStyle name="_電源" xfId="124"/>
    <cellStyle name="_料金改定対象製品 (SWG07017)" xfId="125"/>
    <cellStyle name="{" xfId="126"/>
    <cellStyle name="_x0001_+_x0001_+_x0001_+_x0001_+_x0001_+_x0001_+_x0001_+_x0001_+_x0001_+_x0001_+_x0001_+_x0001_+_x0001_+_x0001_+_x0001_+_x0001_+_x0001_+_x0001_+_x0001_+_x0001_+_x0001_+_x0001_" xfId="127"/>
    <cellStyle name="・_1_8.5.27～8.6.2_1_XX月XX日 木曜日 _12月26日 金曜日 " xfId="128"/>
    <cellStyle name="・_1_8.5.27～8.6.2_1_XX月XX日 木曜日 _12月26日 金曜日 _DataStageガイド整備_20120510" xfId="129"/>
    <cellStyle name="・_1_8.5.27～8.6.2_1_XX月XX日 木曜日 _12月26日 金曜日 _DataStage開発ガイド_20111003" xfId="130"/>
    <cellStyle name="・_1_8.5.27～8.6.2_1_XX月XX日 木曜日 _12月26日 金曜日 _DataStage開発ガイド_20111003(Lookup_NO_SORTのための修正版）" xfId="131"/>
    <cellStyle name="・_1_8.5.27～8.6.2_1_XX月XX日 木曜日 _12月26日 金曜日 _DataStage開発ガイド_20111003_基本設計追加版 - コピー" xfId="132"/>
    <cellStyle name="・_1_8.5.27～8.6.2_1_XX月XX日 木曜日 _12月26日 金曜日 _DataStage開発ガイド_20111209" xfId="133"/>
    <cellStyle name="・_1_8.5.27～8.6.2_1_XX月XX日 木曜日 _12月26日 金曜日 _DataStage開発ガイド_20120111_抜粋" xfId="134"/>
    <cellStyle name="・_1_8.5.27～8.6.2_1_XX月XX日 木曜日 _12月26日 金曜日 _DataStage開発ガイド_20120118-20120315" xfId="135"/>
    <cellStyle name="・_1_8.5.27～8.6.2_1_XX月XX日 木曜日 _12月26日 金曜日 _DataStage開発ガイド_20120315_20120525" xfId="136"/>
    <cellStyle name="・_1_8.5.27～8.6.2_1_XX月XX日 木曜日 _12月26日 金曜日 _DataStage開発ガイド_20120823.mod" xfId="137"/>
    <cellStyle name="・_1_8.5.27～8.6.2_1_XX月XX日 木曜日 _12月26日 金曜日 _DataStage開発ガイド_20120828" xfId="138"/>
    <cellStyle name="・_1_8.5.27～8.6.2_1_XX月XX日 木曜日 _12月26日 金曜日 _DataStage開発ガイド_3-2 (version 1)" xfId="139"/>
    <cellStyle name="・_1_8.5.27～8.6.2_1_XX月XX日 木曜日 _12月26日 金曜日 _DataStage開発ガイド_3-2 目次案(version 1)" xfId="140"/>
    <cellStyle name="・_1_8.5.27～8.6.2_1_XX月XX日 木曜日 _12月26日 金曜日 _DataStage開発者ガイド_9.3.付属3_修正版_20110531NSSOLコメント" xfId="141"/>
    <cellStyle name="・_1_8.5.27～8.6.2_1_XX月XX日 木曜日 _12月26日 金曜日 _DataStage設計ガイド_20111222" xfId="142"/>
    <cellStyle name="・_1_8.5.27～8.6.2_1_XX月XX日 木曜日 _12月26日 金曜日 _DataStage設計ガイド_20120606" xfId="143"/>
    <cellStyle name="" xfId="144"/>
    <cellStyle name="W_SVCCODE" xfId="145"/>
    <cellStyle name="0" xfId="146"/>
    <cellStyle name="〰0" xfId="147"/>
    <cellStyle name="〰0〰" xfId="148"/>
    <cellStyle name="〰〰0" xfId="149"/>
    <cellStyle name="〰〰〰0" xfId="150"/>
    <cellStyle name="0%" xfId="151"/>
    <cellStyle name="0,0_x000d__x000a_NA_x000d__x000a_" xfId="152"/>
    <cellStyle name="0.0%" xfId="153"/>
    <cellStyle name="0.00%" xfId="154"/>
    <cellStyle name="00" xfId="155"/>
    <cellStyle name="１" xfId="156"/>
    <cellStyle name="1.xls]SubSys間Ｆｉｌｅ" xfId="157"/>
    <cellStyle name="２" xfId="158"/>
    <cellStyle name="20% - アクセント 1 2" xfId="159"/>
    <cellStyle name="20% - アクセント 1 3" xfId="160"/>
    <cellStyle name="20% - アクセント 2 2" xfId="161"/>
    <cellStyle name="20% - アクセント 2 3" xfId="162"/>
    <cellStyle name="20% - アクセント 3 2" xfId="163"/>
    <cellStyle name="20% - アクセント 3 3" xfId="164"/>
    <cellStyle name="20% - アクセント 4 2" xfId="165"/>
    <cellStyle name="20% - アクセント 4 3" xfId="166"/>
    <cellStyle name="20% - アクセント 5 2" xfId="167"/>
    <cellStyle name="20% - アクセント 5 3" xfId="168"/>
    <cellStyle name="20% - アクセント 6 2" xfId="169"/>
    <cellStyle name="20% - アクセント 6 3" xfId="170"/>
    <cellStyle name="40% - アクセント 1 2" xfId="171"/>
    <cellStyle name="40% - アクセント 1 3" xfId="172"/>
    <cellStyle name="40% - アクセント 2 2" xfId="173"/>
    <cellStyle name="40% - アクセント 2 3" xfId="174"/>
    <cellStyle name="40% - アクセント 3 2" xfId="175"/>
    <cellStyle name="40% - アクセント 3 3" xfId="176"/>
    <cellStyle name="40% - アクセント 4 2" xfId="177"/>
    <cellStyle name="40% - アクセント 4 3" xfId="178"/>
    <cellStyle name="40% - アクセント 5 2" xfId="179"/>
    <cellStyle name="40% - アクセント 5 3" xfId="180"/>
    <cellStyle name="40% - アクセント 6 2" xfId="181"/>
    <cellStyle name="40% - アクセント 6 3" xfId="182"/>
    <cellStyle name="60% - アクセント 1 2" xfId="183"/>
    <cellStyle name="60% - アクセント 1 3" xfId="184"/>
    <cellStyle name="60% - アクセント 2 2" xfId="185"/>
    <cellStyle name="60% - アクセント 2 3" xfId="186"/>
    <cellStyle name="60% - アクセント 3 2" xfId="187"/>
    <cellStyle name="60% - アクセント 3 3" xfId="188"/>
    <cellStyle name="60% - アクセント 4 2" xfId="189"/>
    <cellStyle name="60% - アクセント 4 3" xfId="190"/>
    <cellStyle name="60% - アクセント 5 2" xfId="191"/>
    <cellStyle name="60% - アクセント 5 3" xfId="192"/>
    <cellStyle name="60% - アクセント 6 2" xfId="193"/>
    <cellStyle name="60% - アクセント 6 3" xfId="194"/>
    <cellStyle name="a" xfId="195"/>
    <cellStyle name="a_2次ｻｰﾋﾞｽﾃﾞｰﾀﾌﾛｰ(共通ﾌﾛﾝﾄ修正）" xfId="196"/>
    <cellStyle name="a_2次ｻｰﾋﾞｽﾃﾞｰﾀﾌﾛｰ(共通ﾌﾛﾝﾄ修正）_BK1次（本番確認ポイント）" xfId="197"/>
    <cellStyle name="a_2次ｻｰﾋﾞｽﾃﾞｰﾀﾌﾛｰ(共通ﾌﾛﾝﾄ修正）_BK1次（本番確認ポイント）_20060403" xfId="198"/>
    <cellStyle name="a_2次ｻｰﾋﾞｽﾃﾞｰﾀﾌﾛｰ(共通ﾌﾛﾝﾄ修正）_BK1次（本番確認ポイント）_20060410" xfId="199"/>
    <cellStyle name="a_2次ｻｰﾋﾞｽﾃﾞｰﾀﾌﾛｰ(共通ﾌﾛﾝﾄ修正）_BK1次（本番確認ポイント）_20060413" xfId="200"/>
    <cellStyle name="a_2次ｻｰﾋﾞｽﾃﾞｰﾀﾌﾛｰ(共通ﾌﾛﾝﾄ修正）_運用CHK" xfId="201"/>
    <cellStyle name="a_2次ｻｰﾋﾞｽﾃﾞｰﾀﾌﾛｰ(共通ﾌﾛﾝﾄ修正）_運用chk(法人Wｅｂﾘｱﾙ)" xfId="202"/>
    <cellStyle name="a_2次ｻｰﾋﾞｽﾃﾞｰﾀﾌﾛｰ(共通ﾌﾛﾝﾄ修正）_運用chk(法人Wｅｂﾘｱﾙ)_BK1次（本番確認ポイント）" xfId="203"/>
    <cellStyle name="a_2次ｻｰﾋﾞｽﾃﾞｰﾀﾌﾛｰ(共通ﾌﾛﾝﾄ修正）_運用chk(法人Wｅｂﾘｱﾙ)_BK1次（本番確認ポイント）_20060403" xfId="204"/>
    <cellStyle name="a_2次ｻｰﾋﾞｽﾃﾞｰﾀﾌﾛｰ(共通ﾌﾛﾝﾄ修正）_運用chk(法人Wｅｂﾘｱﾙ)_BK1次（本番確認ポイント）_20060410" xfId="205"/>
    <cellStyle name="a_2次ｻｰﾋﾞｽﾃﾞｰﾀﾌﾛｰ(共通ﾌﾛﾝﾄ修正）_運用chk(法人Wｅｂﾘｱﾙ)_BK1次（本番確認ポイント）_20060413" xfId="206"/>
    <cellStyle name="a_2次ｻｰﾋﾞｽﾃﾞｰﾀﾌﾛｰ(共通ﾌﾛﾝﾄ修正）_運用chk(法人Wｅｂﾘｱﾙ)_本番稼動確認ポイント（３／２０リリース）" xfId="207"/>
    <cellStyle name="a_2次ｻｰﾋﾞｽﾃﾞｰﾀﾌﾛｰ(共通ﾌﾛﾝﾄ修正）_運用chk(法人Wｅｂﾘｱﾙ)_本番事前疎通確認タイムチャート（最新版）" xfId="208"/>
    <cellStyle name="a_2次ｻｰﾋﾞｽﾃﾞｰﾀﾌﾛｰ(共通ﾌﾛﾝﾄ修正）_運用CHK_BK1次（本番確認ポイント）" xfId="209"/>
    <cellStyle name="a_2次ｻｰﾋﾞｽﾃﾞｰﾀﾌﾛｰ(共通ﾌﾛﾝﾄ修正）_運用CHK_BK1次（本番確認ポイント）_20060403" xfId="210"/>
    <cellStyle name="a_2次ｻｰﾋﾞｽﾃﾞｰﾀﾌﾛｰ(共通ﾌﾛﾝﾄ修正）_運用CHK_BK1次（本番確認ポイント）_20060410" xfId="211"/>
    <cellStyle name="a_2次ｻｰﾋﾞｽﾃﾞｰﾀﾌﾛｰ(共通ﾌﾛﾝﾄ修正）_運用CHK_BK1次（本番確認ポイント）_20060413" xfId="212"/>
    <cellStyle name="a_2次ｻｰﾋﾞｽﾃﾞｰﾀﾌﾛｰ(共通ﾌﾛﾝﾄ修正）_運用CHK_本番稼動確認ポイント（３／２０リリース）" xfId="213"/>
    <cellStyle name="a_2次ｻｰﾋﾞｽﾃﾞｰﾀﾌﾛｰ(共通ﾌﾛﾝﾄ修正）_運用CHK_本番事前疎通確認タイムチャート（最新版）" xfId="214"/>
    <cellStyle name="a_2次ｻｰﾋﾞｽﾃﾞｰﾀﾌﾛｰ(共通ﾌﾛﾝﾄ修正）_本番稼動確認ポイント（３／２０リリース）" xfId="215"/>
    <cellStyle name="a_2次ｻｰﾋﾞｽﾃﾞｰﾀﾌﾛｰ(共通ﾌﾛﾝﾄ修正）_本番事前疎通確認タイムチャート（最新版）" xfId="216"/>
    <cellStyle name="a_BK1次（本番確認ポイント）" xfId="217"/>
    <cellStyle name="a_BK1次（本番確認ポイント）_20060403" xfId="218"/>
    <cellStyle name="a_BK1次（本番確認ポイント）_20060410" xfId="219"/>
    <cellStyle name="a_BK1次（本番確認ポイント）_20060413" xfId="220"/>
    <cellStyle name="a_運用CHK" xfId="221"/>
    <cellStyle name="a_運用chk(法人Wｅｂﾘｱﾙ)" xfId="222"/>
    <cellStyle name="a_運用chk(法人Wｅｂﾘｱﾙ)_BK1次（本番確認ポイント）" xfId="223"/>
    <cellStyle name="a_運用chk(法人Wｅｂﾘｱﾙ)_BK1次（本番確認ポイント）_20060403" xfId="224"/>
    <cellStyle name="a_運用chk(法人Wｅｂﾘｱﾙ)_BK1次（本番確認ポイント）_20060410" xfId="225"/>
    <cellStyle name="a_運用chk(法人Wｅｂﾘｱﾙ)_BK1次（本番確認ポイント）_20060413" xfId="226"/>
    <cellStyle name="a_運用chk(法人Wｅｂﾘｱﾙ)_本番稼動確認ポイント（３／２０リリース）" xfId="227"/>
    <cellStyle name="a_運用chk(法人Wｅｂﾘｱﾙ)_本番事前疎通確認タイムチャート（最新版）" xfId="228"/>
    <cellStyle name="a_運用CHK_BK1次（本番確認ポイント）" xfId="229"/>
    <cellStyle name="a_運用CHK_BK1次（本番確認ポイント）_20060403" xfId="230"/>
    <cellStyle name="a_運用CHK_BK1次（本番確認ポイント）_20060410" xfId="231"/>
    <cellStyle name="a_運用CHK_BK1次（本番確認ポイント）_20060413" xfId="232"/>
    <cellStyle name="a_運用CHK_本番稼動確認ポイント（３／２０リリース）" xfId="233"/>
    <cellStyle name="a_運用CHK_本番事前疎通確認タイムチャート（最新版）" xfId="234"/>
    <cellStyle name="a_本番稼動確認ポイント（３／２０リリース）" xfId="235"/>
    <cellStyle name="a_本番事前疎通確認タイムチャート（最新版）" xfId="236"/>
    <cellStyle name="A4-横" xfId="237"/>
    <cellStyle name="aaaaa" xfId="238"/>
    <cellStyle name="args.style" xfId="239"/>
    <cellStyle name="B4方眼" xfId="240"/>
    <cellStyle name="Background" xfId="241"/>
    <cellStyle name="bbbb" xfId="242"/>
    <cellStyle name="Body" xfId="243"/>
    <cellStyle name="Calc Currency (0)" xfId="244"/>
    <cellStyle name="Calc Currency (2)" xfId="245"/>
    <cellStyle name="Calc Percent (0)" xfId="246"/>
    <cellStyle name="Calc Percent (1)" xfId="247"/>
    <cellStyle name="Calc Percent (2)" xfId="248"/>
    <cellStyle name="Calc Units (0)" xfId="249"/>
    <cellStyle name="Calc Units (1)" xfId="250"/>
    <cellStyle name="Calc Units (2)" xfId="251"/>
    <cellStyle name="Col Heads" xfId="252"/>
    <cellStyle name="Comma  - Style1" xfId="253"/>
    <cellStyle name="Comma  - Style2" xfId="254"/>
    <cellStyle name="Comma  - Style3" xfId="255"/>
    <cellStyle name="Comma  - Style4" xfId="256"/>
    <cellStyle name="Comma  - Style5" xfId="257"/>
    <cellStyle name="Comma  - Style6" xfId="258"/>
    <cellStyle name="Comma  - Style7" xfId="259"/>
    <cellStyle name="Comma  - Style8" xfId="260"/>
    <cellStyle name="Comma [00]" xfId="261"/>
    <cellStyle name="Comma,0" xfId="262"/>
    <cellStyle name="Comma,1" xfId="263"/>
    <cellStyle name="Comma,2" xfId="264"/>
    <cellStyle name="COMP定番表書式" xfId="265"/>
    <cellStyle name="Currency [00]" xfId="266"/>
    <cellStyle name="Currency,0" xfId="267"/>
    <cellStyle name="Currency,2" xfId="268"/>
    <cellStyle name="Date Short" xfId="269"/>
    <cellStyle name="DDD" xfId="270"/>
    <cellStyle name="discount" xfId="271"/>
    <cellStyle name="Enter Currency (0)" xfId="272"/>
    <cellStyle name="Enter Currency (2)" xfId="273"/>
    <cellStyle name="Enter Units (0)" xfId="274"/>
    <cellStyle name="Enter Units (1)" xfId="275"/>
    <cellStyle name="Enter Units (2)" xfId="276"/>
    <cellStyle name="entry" xfId="277"/>
    <cellStyle name="f" xfId="278"/>
    <cellStyle name="Followed Hyperlink" xfId="279"/>
    <cellStyle name="GBS Files" xfId="280"/>
    <cellStyle name="Grey" xfId="281"/>
    <cellStyle name="Head 1" xfId="282"/>
    <cellStyle name="Header1" xfId="283"/>
    <cellStyle name="Header2" xfId="284"/>
    <cellStyle name="Helv" xfId="285"/>
    <cellStyle name="Hyperlink" xfId="3" builtinId="8"/>
    <cellStyle name="IBM(401K)" xfId="286"/>
    <cellStyle name="Input [yellow]" xfId="287"/>
    <cellStyle name="Introduction" xfId="288"/>
    <cellStyle name="J401K" xfId="289"/>
    <cellStyle name="Komma [0]_laroux" xfId="290"/>
    <cellStyle name="Komma_laroux" xfId="291"/>
    <cellStyle name="Link Currency (0)" xfId="292"/>
    <cellStyle name="Link Currency (2)" xfId="293"/>
    <cellStyle name="Link Units (0)" xfId="294"/>
    <cellStyle name="Link Units (1)" xfId="295"/>
    <cellStyle name="Link Units (2)" xfId="296"/>
    <cellStyle name="Milliers [0]_!!!GO" xfId="297"/>
    <cellStyle name="Milliers_!!!GO" xfId="298"/>
    <cellStyle name="Mon騁aire [0]_!!!GO" xfId="299"/>
    <cellStyle name="Mon騁aire_!!!GO" xfId="300"/>
    <cellStyle name="n" xfId="301"/>
    <cellStyle name="no dec" xfId="302"/>
    <cellStyle name="Normal" xfId="0" builtinId="0"/>
    <cellStyle name="Normal - Style1" xfId="303"/>
    <cellStyle name="Normal 2" xfId="663"/>
    <cellStyle name="Option" xfId="304"/>
    <cellStyle name="per.style" xfId="305"/>
    <cellStyle name="Percent [0]" xfId="306"/>
    <cellStyle name="Percent [00]" xfId="307"/>
    <cellStyle name="Percent [2]" xfId="308"/>
    <cellStyle name="PrePop Currency (0)" xfId="309"/>
    <cellStyle name="PrePop Currency (2)" xfId="310"/>
    <cellStyle name="PrePop Units (0)" xfId="311"/>
    <cellStyle name="PrePop Units (1)" xfId="312"/>
    <cellStyle name="PrePop Units (2)" xfId="313"/>
    <cellStyle name="price" xfId="314"/>
    <cellStyle name="Prices" xfId="315"/>
    <cellStyle name="PSChar" xfId="316"/>
    <cellStyle name="PSDate" xfId="317"/>
    <cellStyle name="PSDec" xfId="318"/>
    <cellStyle name="PSHeading" xfId="319"/>
    <cellStyle name="PSInt" xfId="320"/>
    <cellStyle name="PSSpacer" xfId="321"/>
    <cellStyle name="Q" xfId="322"/>
    <cellStyle name="R" xfId="323"/>
    <cellStyle name="red" xfId="324"/>
    <cellStyle name="revised" xfId="325"/>
    <cellStyle name="s]_x000d__x000a_spooler=yes_x000d__x000a_load=nwpopup.exe_x000d__x000a_run=_x000d__x000a_Beep=yes_x000d__x000a_NullPort=None_x000d__x000a_BorderWidth=3_x000d__x000a_CursorBlinkRate=370_x000d__x000a_DoubleClickSpeed=" xfId="326"/>
    <cellStyle name="s]_x000d__x000a_spooler=yes_x000d__x000a_load=nwpopup.exe_x000d__x000a_run=_x000d__x000a_Beep=yes_x000d__x000a_NullPort=None_x000d__x000a_BorderWidth=3_x000d__x000a_CursorBlinkRate=370_x000d__x000a_DoubleClickSpeed= 2" xfId="327"/>
    <cellStyle name="SAPBEXaggData" xfId="328"/>
    <cellStyle name="SAPBEXaggDataEmph" xfId="329"/>
    <cellStyle name="SAPBEXaggItem" xfId="330"/>
    <cellStyle name="SAPBEXchaText" xfId="331"/>
    <cellStyle name="SAPBEXexcBad" xfId="332"/>
    <cellStyle name="SAPBEXexcCritical" xfId="333"/>
    <cellStyle name="SAPBEXexcGood" xfId="334"/>
    <cellStyle name="SAPBEXexcVeryBad" xfId="335"/>
    <cellStyle name="SAPBEXfilterDrill" xfId="336"/>
    <cellStyle name="SAPBEXfilterItem" xfId="337"/>
    <cellStyle name="SAPBEXfilterText" xfId="338"/>
    <cellStyle name="SAPBEXformats" xfId="339"/>
    <cellStyle name="SAPBEXheaderData" xfId="340"/>
    <cellStyle name="SAPBEXheaderItem" xfId="341"/>
    <cellStyle name="SAPBEXheaderText" xfId="342"/>
    <cellStyle name="SAPBEXresData" xfId="343"/>
    <cellStyle name="SAPBEXresDataEmph" xfId="344"/>
    <cellStyle name="SAPBEXresItem" xfId="345"/>
    <cellStyle name="SAPBEXstdData" xfId="346"/>
    <cellStyle name="SAPBEXstdDataEmph" xfId="347"/>
    <cellStyle name="SAPBEXstdItem" xfId="348"/>
    <cellStyle name="SAPBEXsubData" xfId="349"/>
    <cellStyle name="SAPBEXsubDataEmph" xfId="350"/>
    <cellStyle name="SAPBEXsubItem" xfId="351"/>
    <cellStyle name="SAPBEXtitle" xfId="352"/>
    <cellStyle name="SAPBEXundefined" xfId="353"/>
    <cellStyle name="section" xfId="354"/>
    <cellStyle name="Standaard_laroux" xfId="355"/>
    <cellStyle name="standard" xfId="356"/>
    <cellStyle name="subhead" xfId="357"/>
    <cellStyle name="T" xfId="358"/>
    <cellStyle name="t]_x000d__x000a_color schemes=新緑_x000d__x000a__x000d__x000a_[color schemes]_x000d__x000a_新緑=E6FFFF,CAFFFF,FFFFFF,0,FFFFFF,0,628040,D1FFBF,FFFFFF,408000,FF" xfId="359"/>
    <cellStyle name="Ｔ２０５" xfId="360"/>
    <cellStyle name="Ｔ２０５１" xfId="361"/>
    <cellStyle name="Ｔ２０５２" xfId="362"/>
    <cellStyle name="Ｔ２０５３" xfId="363"/>
    <cellStyle name="Text Indent A" xfId="364"/>
    <cellStyle name="Text Indent B" xfId="365"/>
    <cellStyle name="Text Indent C" xfId="366"/>
    <cellStyle name="umeda" xfId="367"/>
    <cellStyle name="Valuta [0]_laroux" xfId="368"/>
    <cellStyle name="Valuta_laroux" xfId="369"/>
    <cellStyle name="ys_MTX" xfId="370"/>
    <cellStyle name="アクセント 1 2" xfId="371"/>
    <cellStyle name="アクセント 1 3" xfId="372"/>
    <cellStyle name="アクセント 2 2" xfId="373"/>
    <cellStyle name="アクセント 2 3" xfId="374"/>
    <cellStyle name="アクセント 3 2" xfId="375"/>
    <cellStyle name="アクセント 3 3" xfId="376"/>
    <cellStyle name="アクセント 4 2" xfId="377"/>
    <cellStyle name="アクセント 4 3" xfId="378"/>
    <cellStyle name="アクセント 5 2" xfId="379"/>
    <cellStyle name="アクセント 5 3" xfId="380"/>
    <cellStyle name="アクセント 6 2" xfId="381"/>
    <cellStyle name="アクセント 6 3" xfId="382"/>
    <cellStyle name="ｳ｣ｹ訐laroux" xfId="383"/>
    <cellStyle name="ｳ｣ｹ訐PERSONAL" xfId="384"/>
    <cellStyle name="ｳ｣ｹ訐ﾓｲｼ" xfId="385"/>
    <cellStyle name="ｳ｣ｹ訐ﾗ､ﾂ昉・" xfId="386"/>
    <cellStyle name="ｻﾒ[0]_laroux" xfId="387"/>
    <cellStyle name="ｻﾒ_1000A UNIX" xfId="388"/>
    <cellStyle name="スタイル 1" xfId="389"/>
    <cellStyle name="スタイル 10" xfId="390"/>
    <cellStyle name="スタイル 100" xfId="391"/>
    <cellStyle name="スタイル 101" xfId="392"/>
    <cellStyle name="スタイル 102" xfId="393"/>
    <cellStyle name="スタイル 103" xfId="394"/>
    <cellStyle name="スタイル 104" xfId="395"/>
    <cellStyle name="スタイル 105" xfId="396"/>
    <cellStyle name="スタイル 106" xfId="397"/>
    <cellStyle name="スタイル 107" xfId="398"/>
    <cellStyle name="スタイル 108" xfId="399"/>
    <cellStyle name="スタイル 109" xfId="400"/>
    <cellStyle name="スタイル 11" xfId="401"/>
    <cellStyle name="スタイル 110" xfId="402"/>
    <cellStyle name="スタイル 111" xfId="403"/>
    <cellStyle name="スタイル 112" xfId="404"/>
    <cellStyle name="スタイル 12" xfId="405"/>
    <cellStyle name="スタイル 13" xfId="406"/>
    <cellStyle name="スタイル 14" xfId="407"/>
    <cellStyle name="スタイル 15" xfId="408"/>
    <cellStyle name="スタイル 16" xfId="409"/>
    <cellStyle name="スタイル 17" xfId="410"/>
    <cellStyle name="スタイル 18" xfId="411"/>
    <cellStyle name="スタイル 19" xfId="412"/>
    <cellStyle name="スタイル 2" xfId="413"/>
    <cellStyle name="スタイル 20" xfId="414"/>
    <cellStyle name="スタイル 21" xfId="415"/>
    <cellStyle name="スタイル 22" xfId="416"/>
    <cellStyle name="スタイル 23" xfId="417"/>
    <cellStyle name="スタイル 24" xfId="418"/>
    <cellStyle name="スタイル 25" xfId="419"/>
    <cellStyle name="スタイル 26" xfId="420"/>
    <cellStyle name="スタイル 27" xfId="421"/>
    <cellStyle name="スタイル 28" xfId="422"/>
    <cellStyle name="スタイル 29" xfId="423"/>
    <cellStyle name="スタイル 3" xfId="424"/>
    <cellStyle name="スタイル 30" xfId="425"/>
    <cellStyle name="スタイル 31" xfId="426"/>
    <cellStyle name="スタイル 32" xfId="427"/>
    <cellStyle name="スタイル 33" xfId="428"/>
    <cellStyle name="スタイル 34" xfId="429"/>
    <cellStyle name="スタイル 35" xfId="430"/>
    <cellStyle name="スタイル 36" xfId="431"/>
    <cellStyle name="スタイル 37" xfId="432"/>
    <cellStyle name="スタイル 38" xfId="433"/>
    <cellStyle name="スタイル 39" xfId="434"/>
    <cellStyle name="スタイル 4" xfId="435"/>
    <cellStyle name="スタイル 40" xfId="436"/>
    <cellStyle name="スタイル 41" xfId="437"/>
    <cellStyle name="スタイル 42" xfId="438"/>
    <cellStyle name="スタイル 43" xfId="439"/>
    <cellStyle name="スタイル 44" xfId="440"/>
    <cellStyle name="スタイル 45" xfId="441"/>
    <cellStyle name="スタイル 46" xfId="442"/>
    <cellStyle name="スタイル 47" xfId="443"/>
    <cellStyle name="スタイル 48" xfId="444"/>
    <cellStyle name="スタイル 49" xfId="445"/>
    <cellStyle name="スタイル 5" xfId="446"/>
    <cellStyle name="スタイル 50" xfId="447"/>
    <cellStyle name="スタイル 51" xfId="448"/>
    <cellStyle name="スタイル 52" xfId="449"/>
    <cellStyle name="スタイル 53" xfId="450"/>
    <cellStyle name="スタイル 54" xfId="451"/>
    <cellStyle name="スタイル 55" xfId="452"/>
    <cellStyle name="スタイル 56" xfId="453"/>
    <cellStyle name="スタイル 57" xfId="454"/>
    <cellStyle name="スタイル 58" xfId="455"/>
    <cellStyle name="スタイル 59" xfId="456"/>
    <cellStyle name="スタイル 6" xfId="457"/>
    <cellStyle name="スタイル 60" xfId="458"/>
    <cellStyle name="スタイル 61" xfId="459"/>
    <cellStyle name="スタイル 62" xfId="460"/>
    <cellStyle name="スタイル 63" xfId="461"/>
    <cellStyle name="スタイル 64" xfId="462"/>
    <cellStyle name="スタイル 65" xfId="463"/>
    <cellStyle name="スタイル 66" xfId="464"/>
    <cellStyle name="スタイル 67" xfId="465"/>
    <cellStyle name="スタイル 68" xfId="466"/>
    <cellStyle name="スタイル 69" xfId="467"/>
    <cellStyle name="スタイル 7" xfId="468"/>
    <cellStyle name="スタイル 70" xfId="469"/>
    <cellStyle name="スタイル 71" xfId="470"/>
    <cellStyle name="スタイル 72" xfId="471"/>
    <cellStyle name="スタイル 73" xfId="472"/>
    <cellStyle name="スタイル 74" xfId="473"/>
    <cellStyle name="スタイル 75" xfId="474"/>
    <cellStyle name="スタイル 76" xfId="475"/>
    <cellStyle name="スタイル 77" xfId="476"/>
    <cellStyle name="スタイル 78" xfId="477"/>
    <cellStyle name="スタイル 79" xfId="478"/>
    <cellStyle name="スタイル 8" xfId="479"/>
    <cellStyle name="スタイル 80" xfId="480"/>
    <cellStyle name="スタイル 81" xfId="481"/>
    <cellStyle name="スタイル 82" xfId="482"/>
    <cellStyle name="スタイル 83" xfId="483"/>
    <cellStyle name="スタイル 84" xfId="484"/>
    <cellStyle name="スタイル 85" xfId="485"/>
    <cellStyle name="スタイル 86" xfId="486"/>
    <cellStyle name="スタイル 87" xfId="487"/>
    <cellStyle name="スタイル 88" xfId="488"/>
    <cellStyle name="スタイル 89" xfId="489"/>
    <cellStyle name="スタイル 9" xfId="490"/>
    <cellStyle name="スタイル 90" xfId="491"/>
    <cellStyle name="スタイル 91" xfId="492"/>
    <cellStyle name="スタイル 92" xfId="493"/>
    <cellStyle name="スタイル 93" xfId="494"/>
    <cellStyle name="スタイル 94" xfId="495"/>
    <cellStyle name="スタイル 95" xfId="496"/>
    <cellStyle name="スタイル 96" xfId="497"/>
    <cellStyle name="スタイル 97" xfId="498"/>
    <cellStyle name="スタイル 98" xfId="499"/>
    <cellStyle name="スタイル 99" xfId="500"/>
    <cellStyle name="センター" xfId="501"/>
    <cellStyle name="だ" xfId="502"/>
    <cellStyle name="タイトル 2" xfId="503"/>
    <cellStyle name="タイトル 3" xfId="504"/>
    <cellStyle name="タイトル１" xfId="505"/>
    <cellStyle name="タイトル２" xfId="506"/>
    <cellStyle name="チェック セル 2" xfId="507"/>
    <cellStyle name="チェック セル 3" xfId="508"/>
    <cellStyle name="どちらでもない 2" xfId="509"/>
    <cellStyle name="どちらでもない 3" xfId="510"/>
    <cellStyle name="ﾇｧﾎｻ[0]_laroux" xfId="511"/>
    <cellStyle name="ﾇｧﾎｻ_laroux" xfId="512"/>
    <cellStyle name="ﾇｧﾎｻｷﾖｸ0]_PERSONAL" xfId="513"/>
    <cellStyle name="ﾇｧﾎｻｷﾖｸPERSONAL" xfId="514"/>
    <cellStyle name="パーセント 2" xfId="515"/>
    <cellStyle name="ハイパーリンク 2" xfId="516"/>
    <cellStyle name="メモ 2" xfId="517"/>
    <cellStyle name="メモ 3" xfId="518"/>
    <cellStyle name="も" xfId="519"/>
    <cellStyle name="リンク セル 2" xfId="520"/>
    <cellStyle name="リンク セル 3" xfId="521"/>
    <cellStyle name="・'_x000c_・・・V_x0001_ｳ_x0018_ﾘ0_x0007__x0001__x0001_" xfId="522"/>
    <cellStyle name="_x001d_・_x000c_ﾏ・_x000d_ﾂ・_x0001__x0016__x0011_F5_x0007__x0001__x0001_" xfId="523"/>
    <cellStyle name="悪い 2" xfId="524"/>
    <cellStyle name="悪い 3" xfId="525"/>
    <cellStyle name="一般_TSMC SiView Capacity Estimation 1204-2002" xfId="526"/>
    <cellStyle name="横書き" xfId="527"/>
    <cellStyle name="下1赤" xfId="528"/>
    <cellStyle name="下点線" xfId="529"/>
    <cellStyle name="価格桁区切り" xfId="530"/>
    <cellStyle name="外部設計" xfId="531"/>
    <cellStyle name="間Ｆｉｌｅ" xfId="532"/>
    <cellStyle name="型番" xfId="533"/>
    <cellStyle name="罫線" xfId="534"/>
    <cellStyle name="計算 2" xfId="535"/>
    <cellStyle name="計算 3" xfId="536"/>
    <cellStyle name="警告文 2" xfId="537"/>
    <cellStyle name="警告文 3" xfId="538"/>
    <cellStyle name="桁" xfId="539"/>
    <cellStyle name="桁蟻唇Ｆ [0.00]_laroux" xfId="540"/>
    <cellStyle name="桁蟻唇Ｆ_3346" xfId="541"/>
    <cellStyle name="桁区切り [0.00]???瑳?倨???渭湯??:l search ; *.xla; *.xlt; *.xlm; *t match these search criteria:" xfId="542"/>
    <cellStyle name="桁区切り 2" xfId="543"/>
    <cellStyle name="桁区切りﾌﾟﾗﾏｲ" xfId="544"/>
    <cellStyle name="桁区切り括弧付き" xfId="545"/>
    <cellStyle name="見出し 1 2" xfId="546"/>
    <cellStyle name="見出し 1 3" xfId="547"/>
    <cellStyle name="見出し 2 2" xfId="548"/>
    <cellStyle name="見出し 2 3" xfId="549"/>
    <cellStyle name="見出し 3 2" xfId="550"/>
    <cellStyle name="見出し 3 3" xfId="551"/>
    <cellStyle name="見出し 4 2" xfId="552"/>
    <cellStyle name="見出し 4 3" xfId="553"/>
    <cellStyle name="見出し1" xfId="554"/>
    <cellStyle name="見出し2" xfId="555"/>
    <cellStyle name="見出し3" xfId="556"/>
    <cellStyle name="見出し4" xfId="557"/>
    <cellStyle name="見出し5" xfId="558"/>
    <cellStyle name="見出し6" xfId="559"/>
    <cellStyle name="構造v01.xls]SubSys_MTX" xfId="560"/>
    <cellStyle name="項番" xfId="561"/>
    <cellStyle name="咋e" xfId="562"/>
    <cellStyle name="事務企画部用ファンド名称" xfId="563"/>
    <cellStyle name="集計 2" xfId="564"/>
    <cellStyle name="集計 3" xfId="565"/>
    <cellStyle name="縦書き" xfId="566"/>
    <cellStyle name="出力 2" xfId="567"/>
    <cellStyle name="出力 3" xfId="568"/>
    <cellStyle name="少数１位" xfId="569"/>
    <cellStyle name="少数２位" xfId="570"/>
    <cellStyle name="常?_PERSONAL" xfId="571"/>
    <cellStyle name="常规_投信商品情報" xfId="572"/>
    <cellStyle name="数値" xfId="573"/>
    <cellStyle name="数値（桁区切り）" xfId="574"/>
    <cellStyle name="数値_5-2-16-01_iStorage_new" xfId="575"/>
    <cellStyle name="整数値" xfId="576"/>
    <cellStyle name="製品通知&quot;-&quot;" xfId="577"/>
    <cellStyle name="製品通知価格" xfId="578"/>
    <cellStyle name="製品通知日付" xfId="579"/>
    <cellStyle name="製品通知文字列" xfId="580"/>
    <cellStyle name="赤%" xfId="581"/>
    <cellStyle name="説明文 2" xfId="582"/>
    <cellStyle name="説明文 3" xfId="583"/>
    <cellStyle name="千位分隔[0]_PERSONAL" xfId="584"/>
    <cellStyle name="千位分隔_PERSONAL" xfId="585"/>
    <cellStyle name="脱浦 [0.00]_?1?T-°U (2)" xfId="586"/>
    <cellStyle name="脱浦_?1?T-°U (2)" xfId="587"/>
    <cellStyle name="中ゴ" xfId="588"/>
    <cellStyle name="中央" xfId="589"/>
    <cellStyle name="追加スタイル（梅田）" xfId="590"/>
    <cellStyle name="通貨 [0.00" xfId="591"/>
    <cellStyle name="通貨 [0.00]0]???瑳?倨???渭湯畳?????earch ;riteria *.xlt; *.xlm;hat match these searc" xfId="592"/>
    <cellStyle name="通貨 2" xfId="593"/>
    <cellStyle name="底線" xfId="594"/>
    <cellStyle name="点以下1" xfId="595"/>
    <cellStyle name="日付" xfId="596"/>
    <cellStyle name="日付yyyy/mm/dd" xfId="597"/>
    <cellStyle name="入力 2" xfId="598"/>
    <cellStyle name="入力 3" xfId="599"/>
    <cellStyle name="年月日" xfId="600"/>
    <cellStyle name="破線" xfId="601"/>
    <cellStyle name="標準 10" xfId="602"/>
    <cellStyle name="標準 11" xfId="603"/>
    <cellStyle name="標準 12" xfId="604"/>
    <cellStyle name="標準 13" xfId="605"/>
    <cellStyle name="標準 14" xfId="606"/>
    <cellStyle name="標準 15" xfId="607"/>
    <cellStyle name="標準 2" xfId="1"/>
    <cellStyle name="標準 2 2" xfId="608"/>
    <cellStyle name="標準 2 3" xfId="609"/>
    <cellStyle name="標準 2 4" xfId="610"/>
    <cellStyle name="標準 2_06._no35_調査資料" xfId="611"/>
    <cellStyle name="標準 3" xfId="2"/>
    <cellStyle name="標準 3 2" xfId="612"/>
    <cellStyle name="標準 3 2 2" xfId="613"/>
    <cellStyle name="標準 3 2_DataStage開発者ガイド_9.3.付属3_20110516（要望記載）" xfId="614"/>
    <cellStyle name="標準 3 3" xfId="615"/>
    <cellStyle name="標準 3_QA_fromNSSOLto基盤(MCIF)" xfId="616"/>
    <cellStyle name="標準 4" xfId="617"/>
    <cellStyle name="標準 4 2" xfId="618"/>
    <cellStyle name="標準 4_DWHDM_テーブル定義書（案）20100201_提出版②" xfId="619"/>
    <cellStyle name="標準 5" xfId="620"/>
    <cellStyle name="標準 6" xfId="621"/>
    <cellStyle name="標準 7" xfId="622"/>
    <cellStyle name="標準 8" xfId="623"/>
    <cellStyle name="標準 9" xfId="624"/>
    <cellStyle name="標準_01-連携ファイル一覧" xfId="625"/>
    <cellStyle name="標準_BF_ASAHI_02_303_ＤＢテーブル設計書_Ver1.57" xfId="626"/>
    <cellStyle name="標準_Book1" xfId="4"/>
    <cellStyle name="標準_本社８階テスト用SBOCマスターシート(1.3)_BF_ASAHI_02_303_ＤＢテーブル設計書_Ver1.00_old" xfId="627"/>
    <cellStyle name="標準1" xfId="628"/>
    <cellStyle name="標準１" xfId="629"/>
    <cellStyle name="標準10P" xfId="630"/>
    <cellStyle name="標準２" xfId="631"/>
    <cellStyle name="標準6pt." xfId="632"/>
    <cellStyle name="標準O増設2" xfId="633"/>
    <cellStyle name="標準外部設計" xfId="634"/>
    <cellStyle name="標準仕様書" xfId="635"/>
    <cellStyle name="標準上詰め（折り返し）" xfId="636"/>
    <cellStyle name="表ヘッダー" xfId="637"/>
    <cellStyle name="表旨巧・・ハイパーリンク" xfId="638"/>
    <cellStyle name="付表" xfId="639"/>
    <cellStyle name="文字下詰め（折り返し）" xfId="640"/>
    <cellStyle name="文字下詰め（折り返しなし）" xfId="641"/>
    <cellStyle name="文字上詰め（折り返し）" xfId="642"/>
    <cellStyle name="文字上詰め（折り返しなし）" xfId="643"/>
    <cellStyle name="文字列" xfId="644"/>
    <cellStyle name="本文" xfId="645"/>
    <cellStyle name="未定義" xfId="646"/>
    <cellStyle name="無人" xfId="647"/>
    <cellStyle name="良い 2" xfId="648"/>
    <cellStyle name="良い 3" xfId="649"/>
    <cellStyle name="冉0" xfId="650"/>
    <cellStyle name="剑" xfId="651"/>
    <cellStyle name="暊e" xfId="652"/>
    <cellStyle name="杮ぶ0" xfId="653"/>
    <cellStyle name="湪" xfId="654"/>
    <cellStyle name="湪最白ゐ〰" xfId="655"/>
    <cellStyle name="箊" xfId="656"/>
    <cellStyle name="誖" xfId="657"/>
    <cellStyle name="㼿" xfId="658"/>
    <cellStyle name="㼿?" xfId="659"/>
    <cellStyle name="㼿_MCIF移行処理時間見積り_20100713" xfId="660"/>
    <cellStyle name="㼿㼿" xfId="661"/>
    <cellStyle name="㼿㼿㼿" xfId="66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W00073~1.003\LOCALS~1\Temp\&#22522;&#26412;&#35373;&#35336;&#26360;&#25104;&#26524;&#29289;&#12469;&#12531;&#12503;&#12523;_20140430.zip%20&#12398;&#19968;&#26178;&#12487;&#12451;&#12524;&#12463;&#12488;&#12522;%202\&#35443;&#32048;&#35373;&#35336;&#26360;&#25104;&#26524;&#29289;&#12469;&#12531;&#12503;&#12523;_2014043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W00068~1.259\LOCALS~1\Temp\&#22522;&#26412;&#35373;&#35336;&#26360;&#25104;&#26524;&#29289;&#12469;&#12531;&#12503;&#12523;_20140430.zip%20&#12398;&#19968;&#26178;&#12487;&#12451;&#12524;&#12463;&#12488;&#12522;%201\&#35443;&#32048;&#35373;&#35336;&#26360;&#25104;&#26524;&#29289;&#12469;&#12531;&#12503;&#12523;_2014043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SmileBranch_&#12486;&#12540;&#12502;&#12523;&#23450;&#32681;&#19968;&#35239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各成果物の構成"/>
      <sheetName val="進捗管理ワークシート"/>
      <sheetName val="詳細設計書サンプル⇒"/>
      <sheetName val="DataStageジョブ仕様書⇒"/>
      <sheetName val="ジョブ仕様書（１～４）"/>
      <sheetName val="ジョブ仕様書（５）"/>
      <sheetName val="DataStageチェックリスト"/>
      <sheetName val="Java処理機能一覧⇒"/>
      <sheetName val="取引ログ登録処理一覧"/>
      <sheetName val="入払情報登録処理一覧"/>
      <sheetName val="元帳断面登録処理一覧"/>
      <sheetName val="前勘ログ登録処理一覧"/>
      <sheetName val="Shell仕様書⇒"/>
      <sheetName val="Shell仕様書"/>
      <sheetName val="Java処理機能（クラス定義）⇒"/>
      <sheetName val="クラス定義　1.1"/>
      <sheetName val="Java処理機能（メソッド定義）⇒"/>
      <sheetName val="1.1.1"/>
      <sheetName val="1.1.2"/>
      <sheetName val="1.1.3"/>
      <sheetName val="1.1.4"/>
      <sheetName val="1.1.5"/>
      <sheetName val="1.1.6"/>
      <sheetName val="1.1.7"/>
      <sheetName val="1.1.8"/>
      <sheetName val="1.1.9"/>
      <sheetName val="1.1.10"/>
      <sheetName val="1.1.11"/>
    </sheetNames>
    <sheetDataSet>
      <sheetData sheetId="0"/>
      <sheetData sheetId="1"/>
      <sheetData sheetId="2"/>
      <sheetData sheetId="3"/>
      <sheetData sheetId="4"/>
      <sheetData sheetId="5"/>
      <sheetData sheetId="6" refreshError="1">
        <row r="7">
          <cell r="H7" t="str">
            <v>チェック内容</v>
          </cell>
          <cell r="K7" t="str">
            <v>チェック結果
(✔を入れる)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各成果物の構成"/>
      <sheetName val="進捗管理ワークシート"/>
      <sheetName val="詳細設計書サンプル⇒"/>
      <sheetName val="DataStageジョブ仕様書⇒"/>
      <sheetName val="ジョブ仕様書（１～４）"/>
      <sheetName val="ジョブ仕様書（５）"/>
      <sheetName val="DataStageチェックリスト"/>
      <sheetName val="Java処理機能一覧⇒"/>
      <sheetName val="取引ログ登録処理一覧"/>
      <sheetName val="入払情報登録処理一覧"/>
      <sheetName val="元帳断面登録処理一覧"/>
      <sheetName val="前勘ログ登録処理一覧"/>
      <sheetName val="Shell仕様書⇒"/>
      <sheetName val="Shell仕様書"/>
      <sheetName val="Java処理機能（クラス定義）⇒"/>
      <sheetName val="クラス定義　1.1"/>
      <sheetName val="Java処理機能（メソッド定義）⇒"/>
      <sheetName val="1.1.1"/>
      <sheetName val="1.1.2"/>
      <sheetName val="1.1.3"/>
      <sheetName val="1.1.4"/>
      <sheetName val="1.1.5"/>
      <sheetName val="1.1.6"/>
      <sheetName val="1.1.7"/>
      <sheetName val="1.1.8"/>
      <sheetName val="1.1.9"/>
      <sheetName val="1.1.10"/>
      <sheetName val="1.1.11"/>
      <sheetName val="#REF"/>
      <sheetName val="テーブル一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 "/>
      <sheetName val="変更履歴"/>
      <sheetName val="テーブル定義一覧"/>
      <sheetName val="Sheet2"/>
      <sheetName val="リスト"/>
    </sheetNames>
    <sheetDataSet>
      <sheetData sheetId="0"/>
      <sheetData sheetId="1" refreshError="1"/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D6:N16"/>
  <sheetViews>
    <sheetView view="pageBreakPreview" zoomScaleNormal="100" workbookViewId="0"/>
  </sheetViews>
  <sheetFormatPr defaultColWidth="9" defaultRowHeight="12"/>
  <cols>
    <col min="1" max="16384" width="9" style="53"/>
  </cols>
  <sheetData>
    <row r="6" spans="4:14" ht="12.75" thickBot="1"/>
    <row r="7" spans="4:14" ht="12.75" thickTop="1">
      <c r="D7" s="54"/>
      <c r="E7" s="55"/>
      <c r="F7" s="55"/>
      <c r="G7" s="55"/>
      <c r="H7" s="55"/>
      <c r="I7" s="55"/>
      <c r="J7" s="55"/>
      <c r="K7" s="55"/>
      <c r="L7" s="55"/>
      <c r="M7" s="55"/>
      <c r="N7" s="56"/>
    </row>
    <row r="8" spans="4:14">
      <c r="D8" s="57"/>
      <c r="E8" s="58"/>
      <c r="F8" s="58"/>
      <c r="G8" s="58"/>
      <c r="H8" s="58"/>
      <c r="I8" s="58"/>
      <c r="J8" s="58"/>
      <c r="K8" s="58"/>
      <c r="L8" s="58"/>
      <c r="M8" s="58"/>
      <c r="N8" s="59"/>
    </row>
    <row r="9" spans="4:14">
      <c r="D9" s="57"/>
      <c r="E9" s="58"/>
      <c r="F9" s="58"/>
      <c r="G9" s="58"/>
      <c r="H9" s="58"/>
      <c r="I9" s="58"/>
      <c r="J9" s="58"/>
      <c r="K9" s="58"/>
      <c r="L9" s="58"/>
      <c r="M9" s="58"/>
      <c r="N9" s="59"/>
    </row>
    <row r="10" spans="4:14" ht="17.25">
      <c r="D10" s="60" t="s">
        <v>150</v>
      </c>
      <c r="E10" s="58"/>
      <c r="F10" s="58"/>
      <c r="G10" s="58"/>
      <c r="H10" s="58"/>
      <c r="I10" s="58"/>
      <c r="J10" s="58"/>
      <c r="K10" s="58"/>
      <c r="L10" s="58"/>
      <c r="M10" s="58"/>
      <c r="N10" s="59"/>
    </row>
    <row r="11" spans="4:14"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9"/>
    </row>
    <row r="12" spans="4:14" ht="17.25">
      <c r="D12" s="60" t="s">
        <v>151</v>
      </c>
      <c r="E12" s="58"/>
      <c r="F12" s="58"/>
      <c r="G12" s="58"/>
      <c r="H12" s="58"/>
      <c r="I12" s="58"/>
      <c r="J12" s="58"/>
      <c r="K12" s="58"/>
      <c r="L12" s="58"/>
      <c r="M12" s="58"/>
      <c r="N12" s="59"/>
    </row>
    <row r="13" spans="4:14"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9"/>
    </row>
    <row r="14" spans="4:14" ht="17.25">
      <c r="D14" s="60" t="s">
        <v>152</v>
      </c>
      <c r="E14" s="58"/>
      <c r="F14" s="58"/>
      <c r="G14" s="58"/>
      <c r="H14" s="58"/>
      <c r="I14" s="61"/>
      <c r="J14" s="58"/>
      <c r="K14" s="58"/>
      <c r="L14" s="58"/>
      <c r="M14" s="58"/>
      <c r="N14" s="59"/>
    </row>
    <row r="15" spans="4:14" ht="12.75" thickBot="1">
      <c r="D15" s="62"/>
      <c r="E15" s="63"/>
      <c r="F15" s="63"/>
      <c r="G15" s="63"/>
      <c r="H15" s="63"/>
      <c r="I15" s="63"/>
      <c r="J15" s="63"/>
      <c r="K15" s="63"/>
      <c r="L15" s="63"/>
      <c r="M15" s="63"/>
      <c r="N15" s="64"/>
    </row>
    <row r="16" spans="4:14" ht="12.75" thickTop="1"/>
  </sheetData>
  <phoneticPr fontId="1"/>
  <printOptions horizontalCentered="1"/>
  <pageMargins left="0.39370078740157483" right="0.39370078740157483" top="0.78740157480314965" bottom="0.39370078740157483" header="0" footer="0.19685039370078741"/>
  <pageSetup paperSize="9" scale="74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R70"/>
  <sheetViews>
    <sheetView zoomScale="85" zoomScaleSheetLayoutView="100" workbookViewId="0">
      <pane ySplit="1" topLeftCell="A2" activePane="bottomLeft" state="frozen"/>
      <selection activeCell="J4" sqref="J4"/>
      <selection pane="bottomLeft" activeCell="O23" sqref="O23:AK23"/>
    </sheetView>
  </sheetViews>
  <sheetFormatPr defaultColWidth="2.875" defaultRowHeight="12"/>
  <cols>
    <col min="1" max="16384" width="2.875" style="2"/>
  </cols>
  <sheetData>
    <row r="1" spans="1:44" ht="17.25">
      <c r="A1" s="6" t="s">
        <v>47</v>
      </c>
    </row>
    <row r="2" spans="1:44" ht="12" customHeight="1"/>
    <row r="3" spans="1:44">
      <c r="A3" s="86" t="s">
        <v>48</v>
      </c>
      <c r="B3" s="87"/>
      <c r="C3" s="88"/>
      <c r="D3" s="89" t="s">
        <v>49</v>
      </c>
      <c r="E3" s="90"/>
      <c r="F3" s="90"/>
      <c r="G3" s="91"/>
      <c r="H3" s="89" t="s">
        <v>50</v>
      </c>
      <c r="I3" s="90"/>
      <c r="J3" s="90"/>
      <c r="K3" s="90"/>
      <c r="L3" s="90"/>
      <c r="M3" s="90"/>
      <c r="N3" s="91"/>
      <c r="O3" s="7" t="s">
        <v>51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9"/>
      <c r="AL3" s="89" t="s">
        <v>52</v>
      </c>
      <c r="AM3" s="90"/>
      <c r="AN3" s="90"/>
      <c r="AO3" s="90"/>
      <c r="AP3" s="90"/>
      <c r="AQ3" s="90"/>
      <c r="AR3" s="91"/>
    </row>
    <row r="4" spans="1:44">
      <c r="A4" s="79" t="s">
        <v>37</v>
      </c>
      <c r="B4" s="80"/>
      <c r="C4" s="81"/>
      <c r="D4" s="92">
        <v>44683</v>
      </c>
      <c r="E4" s="83"/>
      <c r="F4" s="83"/>
      <c r="G4" s="84"/>
      <c r="H4" s="82"/>
      <c r="I4" s="83"/>
      <c r="J4" s="83"/>
      <c r="K4" s="83"/>
      <c r="L4" s="83"/>
      <c r="M4" s="83"/>
      <c r="N4" s="84"/>
      <c r="O4" s="82" t="s">
        <v>54</v>
      </c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4"/>
      <c r="AL4" s="82"/>
      <c r="AM4" s="83"/>
      <c r="AN4" s="83"/>
      <c r="AO4" s="83"/>
      <c r="AP4" s="83"/>
      <c r="AQ4" s="83"/>
      <c r="AR4" s="84"/>
    </row>
    <row r="5" spans="1:44">
      <c r="A5" s="79"/>
      <c r="B5" s="80"/>
      <c r="C5" s="81"/>
      <c r="D5" s="82"/>
      <c r="E5" s="83"/>
      <c r="F5" s="83"/>
      <c r="G5" s="84"/>
      <c r="H5" s="82"/>
      <c r="I5" s="83"/>
      <c r="J5" s="83"/>
      <c r="K5" s="83"/>
      <c r="L5" s="83"/>
      <c r="M5" s="83"/>
      <c r="N5" s="84"/>
      <c r="O5" s="85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4"/>
      <c r="AL5" s="82"/>
      <c r="AM5" s="83"/>
      <c r="AN5" s="83"/>
      <c r="AO5" s="83"/>
      <c r="AP5" s="83"/>
      <c r="AQ5" s="83"/>
      <c r="AR5" s="84"/>
    </row>
    <row r="6" spans="1:44">
      <c r="A6" s="79"/>
      <c r="B6" s="80"/>
      <c r="C6" s="81"/>
      <c r="D6" s="82"/>
      <c r="E6" s="83"/>
      <c r="F6" s="83"/>
      <c r="G6" s="84"/>
      <c r="H6" s="82"/>
      <c r="I6" s="83"/>
      <c r="J6" s="83"/>
      <c r="K6" s="83"/>
      <c r="L6" s="83"/>
      <c r="M6" s="83"/>
      <c r="N6" s="84"/>
      <c r="O6" s="85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4"/>
      <c r="AL6" s="82"/>
      <c r="AM6" s="83"/>
      <c r="AN6" s="83"/>
      <c r="AO6" s="83"/>
      <c r="AP6" s="83"/>
      <c r="AQ6" s="83"/>
      <c r="AR6" s="84"/>
    </row>
    <row r="7" spans="1:44">
      <c r="A7" s="79"/>
      <c r="B7" s="80"/>
      <c r="C7" s="81"/>
      <c r="D7" s="82"/>
      <c r="E7" s="83"/>
      <c r="F7" s="83"/>
      <c r="G7" s="84"/>
      <c r="H7" s="82"/>
      <c r="I7" s="83"/>
      <c r="J7" s="83"/>
      <c r="K7" s="83"/>
      <c r="L7" s="83"/>
      <c r="M7" s="83"/>
      <c r="N7" s="84"/>
      <c r="O7" s="82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4"/>
      <c r="AL7" s="82"/>
      <c r="AM7" s="83"/>
      <c r="AN7" s="83"/>
      <c r="AO7" s="83"/>
      <c r="AP7" s="83"/>
      <c r="AQ7" s="83"/>
      <c r="AR7" s="84"/>
    </row>
    <row r="8" spans="1:44">
      <c r="A8" s="79"/>
      <c r="B8" s="80"/>
      <c r="C8" s="81"/>
      <c r="D8" s="82"/>
      <c r="E8" s="83"/>
      <c r="F8" s="83"/>
      <c r="G8" s="84"/>
      <c r="H8" s="82"/>
      <c r="I8" s="83"/>
      <c r="J8" s="83"/>
      <c r="K8" s="83"/>
      <c r="L8" s="83"/>
      <c r="M8" s="83"/>
      <c r="N8" s="84"/>
      <c r="O8" s="82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4"/>
      <c r="AL8" s="82"/>
      <c r="AM8" s="83"/>
      <c r="AN8" s="83"/>
      <c r="AO8" s="83"/>
      <c r="AP8" s="83"/>
      <c r="AQ8" s="83"/>
      <c r="AR8" s="84"/>
    </row>
    <row r="9" spans="1:44">
      <c r="A9" s="79"/>
      <c r="B9" s="80"/>
      <c r="C9" s="81"/>
      <c r="D9" s="82"/>
      <c r="E9" s="83"/>
      <c r="F9" s="83"/>
      <c r="G9" s="84"/>
      <c r="H9" s="82"/>
      <c r="I9" s="83"/>
      <c r="J9" s="83"/>
      <c r="K9" s="83"/>
      <c r="L9" s="83"/>
      <c r="M9" s="83"/>
      <c r="N9" s="84"/>
      <c r="O9" s="82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4"/>
      <c r="AL9" s="82"/>
      <c r="AM9" s="83"/>
      <c r="AN9" s="83"/>
      <c r="AO9" s="83"/>
      <c r="AP9" s="83"/>
      <c r="AQ9" s="83"/>
      <c r="AR9" s="84"/>
    </row>
    <row r="10" spans="1:44">
      <c r="A10" s="79"/>
      <c r="B10" s="80"/>
      <c r="C10" s="81"/>
      <c r="D10" s="82"/>
      <c r="E10" s="83"/>
      <c r="F10" s="83"/>
      <c r="G10" s="84"/>
      <c r="H10" s="82"/>
      <c r="I10" s="83"/>
      <c r="J10" s="83"/>
      <c r="K10" s="83"/>
      <c r="L10" s="83"/>
      <c r="M10" s="83"/>
      <c r="N10" s="84"/>
      <c r="O10" s="82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4"/>
      <c r="AL10" s="82"/>
      <c r="AM10" s="83"/>
      <c r="AN10" s="83"/>
      <c r="AO10" s="83"/>
      <c r="AP10" s="83"/>
      <c r="AQ10" s="83"/>
      <c r="AR10" s="84"/>
    </row>
    <row r="11" spans="1:44">
      <c r="A11" s="79"/>
      <c r="B11" s="80"/>
      <c r="C11" s="81"/>
      <c r="D11" s="82"/>
      <c r="E11" s="83"/>
      <c r="F11" s="83"/>
      <c r="G11" s="84"/>
      <c r="H11" s="82"/>
      <c r="I11" s="83"/>
      <c r="J11" s="83"/>
      <c r="K11" s="83"/>
      <c r="L11" s="83"/>
      <c r="M11" s="83"/>
      <c r="N11" s="84"/>
      <c r="O11" s="82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4"/>
      <c r="AL11" s="82"/>
      <c r="AM11" s="83"/>
      <c r="AN11" s="83"/>
      <c r="AO11" s="83"/>
      <c r="AP11" s="83"/>
      <c r="AQ11" s="83"/>
      <c r="AR11" s="84"/>
    </row>
    <row r="12" spans="1:44">
      <c r="A12" s="79"/>
      <c r="B12" s="80"/>
      <c r="C12" s="81"/>
      <c r="D12" s="82"/>
      <c r="E12" s="83"/>
      <c r="F12" s="83"/>
      <c r="G12" s="84"/>
      <c r="H12" s="82"/>
      <c r="I12" s="83"/>
      <c r="J12" s="83"/>
      <c r="K12" s="83"/>
      <c r="L12" s="83"/>
      <c r="M12" s="83"/>
      <c r="N12" s="84"/>
      <c r="O12" s="82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4"/>
      <c r="AL12" s="82"/>
      <c r="AM12" s="83"/>
      <c r="AN12" s="83"/>
      <c r="AO12" s="83"/>
      <c r="AP12" s="83"/>
      <c r="AQ12" s="83"/>
      <c r="AR12" s="84"/>
    </row>
    <row r="13" spans="1:44">
      <c r="A13" s="79"/>
      <c r="B13" s="80"/>
      <c r="C13" s="81"/>
      <c r="D13" s="82"/>
      <c r="E13" s="83"/>
      <c r="F13" s="83"/>
      <c r="G13" s="84"/>
      <c r="H13" s="82"/>
      <c r="I13" s="83"/>
      <c r="J13" s="83"/>
      <c r="K13" s="83"/>
      <c r="L13" s="83"/>
      <c r="M13" s="83"/>
      <c r="N13" s="84"/>
      <c r="O13" s="82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4"/>
      <c r="AL13" s="82"/>
      <c r="AM13" s="83"/>
      <c r="AN13" s="83"/>
      <c r="AO13" s="83"/>
      <c r="AP13" s="83"/>
      <c r="AQ13" s="83"/>
      <c r="AR13" s="84"/>
    </row>
    <row r="14" spans="1:44">
      <c r="A14" s="79"/>
      <c r="B14" s="80"/>
      <c r="C14" s="81"/>
      <c r="D14" s="82"/>
      <c r="E14" s="83"/>
      <c r="F14" s="83"/>
      <c r="G14" s="84"/>
      <c r="H14" s="82"/>
      <c r="I14" s="83"/>
      <c r="J14" s="83"/>
      <c r="K14" s="83"/>
      <c r="L14" s="83"/>
      <c r="M14" s="83"/>
      <c r="N14" s="84"/>
      <c r="O14" s="82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4"/>
      <c r="AL14" s="82"/>
      <c r="AM14" s="83"/>
      <c r="AN14" s="83"/>
      <c r="AO14" s="83"/>
      <c r="AP14" s="83"/>
      <c r="AQ14" s="83"/>
      <c r="AR14" s="84"/>
    </row>
    <row r="15" spans="1:44">
      <c r="A15" s="79"/>
      <c r="B15" s="80"/>
      <c r="C15" s="81"/>
      <c r="D15" s="82"/>
      <c r="E15" s="83"/>
      <c r="F15" s="83"/>
      <c r="G15" s="84"/>
      <c r="H15" s="82"/>
      <c r="I15" s="83"/>
      <c r="J15" s="83"/>
      <c r="K15" s="83"/>
      <c r="L15" s="83"/>
      <c r="M15" s="83"/>
      <c r="N15" s="84"/>
      <c r="O15" s="82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4"/>
      <c r="AL15" s="82"/>
      <c r="AM15" s="83"/>
      <c r="AN15" s="83"/>
      <c r="AO15" s="83"/>
      <c r="AP15" s="83"/>
      <c r="AQ15" s="83"/>
      <c r="AR15" s="84"/>
    </row>
    <row r="16" spans="1:44">
      <c r="A16" s="79"/>
      <c r="B16" s="80"/>
      <c r="C16" s="81"/>
      <c r="D16" s="82"/>
      <c r="E16" s="83"/>
      <c r="F16" s="83"/>
      <c r="G16" s="84"/>
      <c r="H16" s="82"/>
      <c r="I16" s="83"/>
      <c r="J16" s="83"/>
      <c r="K16" s="83"/>
      <c r="L16" s="83"/>
      <c r="M16" s="83"/>
      <c r="N16" s="84"/>
      <c r="O16" s="82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4"/>
      <c r="AL16" s="82"/>
      <c r="AM16" s="83"/>
      <c r="AN16" s="83"/>
      <c r="AO16" s="83"/>
      <c r="AP16" s="83"/>
      <c r="AQ16" s="83"/>
      <c r="AR16" s="84"/>
    </row>
    <row r="17" spans="1:44">
      <c r="A17" s="79"/>
      <c r="B17" s="80"/>
      <c r="C17" s="81"/>
      <c r="D17" s="82"/>
      <c r="E17" s="83"/>
      <c r="F17" s="83"/>
      <c r="G17" s="84"/>
      <c r="H17" s="82"/>
      <c r="I17" s="83"/>
      <c r="J17" s="83"/>
      <c r="K17" s="83"/>
      <c r="L17" s="83"/>
      <c r="M17" s="83"/>
      <c r="N17" s="84"/>
      <c r="O17" s="82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4"/>
      <c r="AL17" s="82"/>
      <c r="AM17" s="83"/>
      <c r="AN17" s="83"/>
      <c r="AO17" s="83"/>
      <c r="AP17" s="83"/>
      <c r="AQ17" s="83"/>
      <c r="AR17" s="84"/>
    </row>
    <row r="18" spans="1:44">
      <c r="A18" s="79"/>
      <c r="B18" s="80"/>
      <c r="C18" s="81"/>
      <c r="D18" s="82"/>
      <c r="E18" s="83"/>
      <c r="F18" s="83"/>
      <c r="G18" s="84"/>
      <c r="H18" s="82"/>
      <c r="I18" s="83"/>
      <c r="J18" s="83"/>
      <c r="K18" s="83"/>
      <c r="L18" s="83"/>
      <c r="M18" s="83"/>
      <c r="N18" s="84"/>
      <c r="O18" s="82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4"/>
      <c r="AL18" s="82"/>
      <c r="AM18" s="83"/>
      <c r="AN18" s="83"/>
      <c r="AO18" s="83"/>
      <c r="AP18" s="83"/>
      <c r="AQ18" s="83"/>
      <c r="AR18" s="84"/>
    </row>
    <row r="19" spans="1:44">
      <c r="A19" s="79"/>
      <c r="B19" s="80"/>
      <c r="C19" s="81"/>
      <c r="D19" s="82"/>
      <c r="E19" s="83"/>
      <c r="F19" s="83"/>
      <c r="G19" s="84"/>
      <c r="H19" s="82"/>
      <c r="I19" s="83"/>
      <c r="J19" s="83"/>
      <c r="K19" s="83"/>
      <c r="L19" s="83"/>
      <c r="M19" s="83"/>
      <c r="N19" s="84"/>
      <c r="O19" s="82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4"/>
      <c r="AL19" s="82"/>
      <c r="AM19" s="83"/>
      <c r="AN19" s="83"/>
      <c r="AO19" s="83"/>
      <c r="AP19" s="83"/>
      <c r="AQ19" s="83"/>
      <c r="AR19" s="84"/>
    </row>
    <row r="20" spans="1:44">
      <c r="A20" s="79"/>
      <c r="B20" s="80"/>
      <c r="C20" s="81"/>
      <c r="D20" s="82"/>
      <c r="E20" s="83"/>
      <c r="F20" s="83"/>
      <c r="G20" s="84"/>
      <c r="H20" s="82"/>
      <c r="I20" s="83"/>
      <c r="J20" s="83"/>
      <c r="K20" s="83"/>
      <c r="L20" s="83"/>
      <c r="M20" s="83"/>
      <c r="N20" s="84"/>
      <c r="O20" s="82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4"/>
      <c r="AL20" s="82"/>
      <c r="AM20" s="83"/>
      <c r="AN20" s="83"/>
      <c r="AO20" s="83"/>
      <c r="AP20" s="83"/>
      <c r="AQ20" s="83"/>
      <c r="AR20" s="84"/>
    </row>
    <row r="21" spans="1:44">
      <c r="A21" s="79"/>
      <c r="B21" s="80"/>
      <c r="C21" s="81"/>
      <c r="D21" s="82"/>
      <c r="E21" s="83"/>
      <c r="F21" s="83"/>
      <c r="G21" s="84"/>
      <c r="H21" s="82"/>
      <c r="I21" s="83"/>
      <c r="J21" s="83"/>
      <c r="K21" s="83"/>
      <c r="L21" s="83"/>
      <c r="M21" s="83"/>
      <c r="N21" s="84"/>
      <c r="O21" s="82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4"/>
      <c r="AL21" s="82"/>
      <c r="AM21" s="83"/>
      <c r="AN21" s="83"/>
      <c r="AO21" s="83"/>
      <c r="AP21" s="83"/>
      <c r="AQ21" s="83"/>
      <c r="AR21" s="84"/>
    </row>
    <row r="22" spans="1:44">
      <c r="A22" s="79"/>
      <c r="B22" s="80"/>
      <c r="C22" s="81"/>
      <c r="D22" s="82"/>
      <c r="E22" s="83"/>
      <c r="F22" s="83"/>
      <c r="G22" s="84"/>
      <c r="H22" s="82"/>
      <c r="I22" s="83"/>
      <c r="J22" s="83"/>
      <c r="K22" s="83"/>
      <c r="L22" s="83"/>
      <c r="M22" s="83"/>
      <c r="N22" s="84"/>
      <c r="O22" s="82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4"/>
      <c r="AL22" s="82"/>
      <c r="AM22" s="83"/>
      <c r="AN22" s="83"/>
      <c r="AO22" s="83"/>
      <c r="AP22" s="83"/>
      <c r="AQ22" s="83"/>
      <c r="AR22" s="84"/>
    </row>
    <row r="23" spans="1:44">
      <c r="A23" s="79"/>
      <c r="B23" s="80"/>
      <c r="C23" s="81"/>
      <c r="D23" s="82"/>
      <c r="E23" s="83"/>
      <c r="F23" s="83"/>
      <c r="G23" s="84"/>
      <c r="H23" s="82"/>
      <c r="I23" s="83"/>
      <c r="J23" s="83"/>
      <c r="K23" s="83"/>
      <c r="L23" s="83"/>
      <c r="M23" s="83"/>
      <c r="N23" s="84"/>
      <c r="O23" s="82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4"/>
      <c r="AL23" s="82"/>
      <c r="AM23" s="83"/>
      <c r="AN23" s="83"/>
      <c r="AO23" s="83"/>
      <c r="AP23" s="83"/>
      <c r="AQ23" s="83"/>
      <c r="AR23" s="84"/>
    </row>
    <row r="24" spans="1:44">
      <c r="A24" s="79"/>
      <c r="B24" s="80"/>
      <c r="C24" s="81"/>
      <c r="D24" s="82"/>
      <c r="E24" s="83"/>
      <c r="F24" s="83"/>
      <c r="G24" s="84"/>
      <c r="H24" s="82"/>
      <c r="I24" s="83"/>
      <c r="J24" s="83"/>
      <c r="K24" s="83"/>
      <c r="L24" s="83"/>
      <c r="M24" s="83"/>
      <c r="N24" s="84"/>
      <c r="O24" s="82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4"/>
      <c r="AL24" s="82"/>
      <c r="AM24" s="83"/>
      <c r="AN24" s="83"/>
      <c r="AO24" s="83"/>
      <c r="AP24" s="83"/>
      <c r="AQ24" s="83"/>
      <c r="AR24" s="84"/>
    </row>
    <row r="25" spans="1:44">
      <c r="A25" s="79"/>
      <c r="B25" s="80"/>
      <c r="C25" s="81"/>
      <c r="D25" s="82"/>
      <c r="E25" s="83"/>
      <c r="F25" s="83"/>
      <c r="G25" s="84"/>
      <c r="H25" s="82"/>
      <c r="I25" s="83"/>
      <c r="J25" s="83"/>
      <c r="K25" s="83"/>
      <c r="L25" s="83"/>
      <c r="M25" s="83"/>
      <c r="N25" s="84"/>
      <c r="O25" s="82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4"/>
      <c r="AL25" s="82"/>
      <c r="AM25" s="83"/>
      <c r="AN25" s="83"/>
      <c r="AO25" s="83"/>
      <c r="AP25" s="83"/>
      <c r="AQ25" s="83"/>
      <c r="AR25" s="84"/>
    </row>
    <row r="26" spans="1:44">
      <c r="A26" s="79"/>
      <c r="B26" s="80"/>
      <c r="C26" s="81"/>
      <c r="D26" s="82"/>
      <c r="E26" s="83"/>
      <c r="F26" s="83"/>
      <c r="G26" s="84"/>
      <c r="H26" s="82"/>
      <c r="I26" s="83"/>
      <c r="J26" s="83"/>
      <c r="K26" s="83"/>
      <c r="L26" s="83"/>
      <c r="M26" s="83"/>
      <c r="N26" s="84"/>
      <c r="O26" s="82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4"/>
      <c r="AL26" s="82"/>
      <c r="AM26" s="83"/>
      <c r="AN26" s="83"/>
      <c r="AO26" s="83"/>
      <c r="AP26" s="83"/>
      <c r="AQ26" s="83"/>
      <c r="AR26" s="84"/>
    </row>
    <row r="27" spans="1:44">
      <c r="A27" s="79"/>
      <c r="B27" s="80"/>
      <c r="C27" s="81"/>
      <c r="D27" s="82"/>
      <c r="E27" s="83"/>
      <c r="F27" s="83"/>
      <c r="G27" s="84"/>
      <c r="H27" s="82"/>
      <c r="I27" s="83"/>
      <c r="J27" s="83"/>
      <c r="K27" s="83"/>
      <c r="L27" s="83"/>
      <c r="M27" s="83"/>
      <c r="N27" s="84"/>
      <c r="O27" s="82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4"/>
      <c r="AL27" s="82"/>
      <c r="AM27" s="83"/>
      <c r="AN27" s="83"/>
      <c r="AO27" s="83"/>
      <c r="AP27" s="83"/>
      <c r="AQ27" s="83"/>
      <c r="AR27" s="84"/>
    </row>
    <row r="28" spans="1:44">
      <c r="A28" s="79"/>
      <c r="B28" s="80"/>
      <c r="C28" s="81"/>
      <c r="D28" s="82"/>
      <c r="E28" s="83"/>
      <c r="F28" s="83"/>
      <c r="G28" s="84"/>
      <c r="H28" s="82"/>
      <c r="I28" s="83"/>
      <c r="J28" s="83"/>
      <c r="K28" s="83"/>
      <c r="L28" s="83"/>
      <c r="M28" s="83"/>
      <c r="N28" s="84"/>
      <c r="O28" s="82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4"/>
      <c r="AL28" s="82"/>
      <c r="AM28" s="83"/>
      <c r="AN28" s="83"/>
      <c r="AO28" s="83"/>
      <c r="AP28" s="83"/>
      <c r="AQ28" s="83"/>
      <c r="AR28" s="84"/>
    </row>
    <row r="29" spans="1:44">
      <c r="A29" s="79"/>
      <c r="B29" s="80"/>
      <c r="C29" s="81"/>
      <c r="D29" s="82"/>
      <c r="E29" s="83"/>
      <c r="F29" s="83"/>
      <c r="G29" s="84"/>
      <c r="H29" s="82"/>
      <c r="I29" s="83"/>
      <c r="J29" s="83"/>
      <c r="K29" s="83"/>
      <c r="L29" s="83"/>
      <c r="M29" s="83"/>
      <c r="N29" s="84"/>
      <c r="O29" s="82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4"/>
      <c r="AL29" s="82"/>
      <c r="AM29" s="83"/>
      <c r="AN29" s="83"/>
      <c r="AO29" s="83"/>
      <c r="AP29" s="83"/>
      <c r="AQ29" s="83"/>
      <c r="AR29" s="84"/>
    </row>
    <row r="30" spans="1:44">
      <c r="A30" s="79"/>
      <c r="B30" s="80"/>
      <c r="C30" s="81"/>
      <c r="D30" s="82"/>
      <c r="E30" s="83"/>
      <c r="F30" s="83"/>
      <c r="G30" s="84"/>
      <c r="H30" s="82"/>
      <c r="I30" s="83"/>
      <c r="J30" s="83"/>
      <c r="K30" s="83"/>
      <c r="L30" s="83"/>
      <c r="M30" s="83"/>
      <c r="N30" s="84"/>
      <c r="O30" s="82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4"/>
      <c r="AL30" s="82"/>
      <c r="AM30" s="83"/>
      <c r="AN30" s="83"/>
      <c r="AO30" s="83"/>
      <c r="AP30" s="83"/>
      <c r="AQ30" s="83"/>
      <c r="AR30" s="84"/>
    </row>
    <row r="31" spans="1:44">
      <c r="A31" s="79"/>
      <c r="B31" s="80"/>
      <c r="C31" s="81"/>
      <c r="D31" s="82"/>
      <c r="E31" s="83"/>
      <c r="F31" s="83"/>
      <c r="G31" s="84"/>
      <c r="H31" s="82"/>
      <c r="I31" s="83"/>
      <c r="J31" s="83"/>
      <c r="K31" s="83"/>
      <c r="L31" s="83"/>
      <c r="M31" s="83"/>
      <c r="N31" s="84"/>
      <c r="O31" s="82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4"/>
      <c r="AL31" s="82"/>
      <c r="AM31" s="83"/>
      <c r="AN31" s="83"/>
      <c r="AO31" s="83"/>
      <c r="AP31" s="83"/>
      <c r="AQ31" s="83"/>
      <c r="AR31" s="84"/>
    </row>
    <row r="32" spans="1:44" ht="11.25" customHeight="1">
      <c r="A32" s="79"/>
      <c r="B32" s="80"/>
      <c r="C32" s="81"/>
      <c r="D32" s="82"/>
      <c r="E32" s="83"/>
      <c r="F32" s="83"/>
      <c r="G32" s="84"/>
      <c r="H32" s="82"/>
      <c r="I32" s="83"/>
      <c r="J32" s="83"/>
      <c r="K32" s="83"/>
      <c r="L32" s="83"/>
      <c r="M32" s="83"/>
      <c r="N32" s="84"/>
      <c r="O32" s="82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4"/>
      <c r="AL32" s="82"/>
      <c r="AM32" s="83"/>
      <c r="AN32" s="83"/>
      <c r="AO32" s="83"/>
      <c r="AP32" s="83"/>
      <c r="AQ32" s="83"/>
      <c r="AR32" s="84"/>
    </row>
    <row r="33" spans="1:44">
      <c r="A33" s="79"/>
      <c r="B33" s="80"/>
      <c r="C33" s="81"/>
      <c r="D33" s="82"/>
      <c r="E33" s="83"/>
      <c r="F33" s="83"/>
      <c r="G33" s="84"/>
      <c r="H33" s="82"/>
      <c r="I33" s="83"/>
      <c r="J33" s="83"/>
      <c r="K33" s="83"/>
      <c r="L33" s="83"/>
      <c r="M33" s="83"/>
      <c r="N33" s="84"/>
      <c r="O33" s="82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4"/>
      <c r="AL33" s="82"/>
      <c r="AM33" s="83"/>
      <c r="AN33" s="83"/>
      <c r="AO33" s="83"/>
      <c r="AP33" s="83"/>
      <c r="AQ33" s="83"/>
      <c r="AR33" s="84"/>
    </row>
    <row r="34" spans="1:44"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N34" s="4"/>
      <c r="AO34" s="4"/>
      <c r="AP34" s="4"/>
      <c r="AQ34" s="4"/>
      <c r="AR34" s="4"/>
    </row>
    <row r="35" spans="1:44"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N35" s="4"/>
      <c r="AO35" s="4"/>
      <c r="AP35" s="4"/>
      <c r="AQ35" s="4"/>
      <c r="AR35" s="4"/>
    </row>
    <row r="36" spans="1:44"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N36" s="4"/>
      <c r="AO36" s="4"/>
      <c r="AP36" s="4"/>
      <c r="AQ36" s="4"/>
      <c r="AR36" s="4"/>
    </row>
    <row r="37" spans="1:44"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N37" s="4"/>
      <c r="AO37" s="4"/>
      <c r="AP37" s="4"/>
      <c r="AQ37" s="4"/>
      <c r="AR37" s="4"/>
    </row>
    <row r="38" spans="1:44"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N38" s="4"/>
      <c r="AO38" s="4"/>
      <c r="AP38" s="4"/>
      <c r="AQ38" s="4"/>
      <c r="AR38" s="4"/>
    </row>
    <row r="39" spans="1:44"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33:44"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33:44"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33:44"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33:44"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33:44"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33:44"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33:44"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33:44" ht="12" customHeight="1"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33:44"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33:44"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33:44"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33:44"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33:44"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33:44"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33:44"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33:44"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33:44"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33:44"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33:44" ht="11.25" customHeight="1"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33:44"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33:44"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33:44"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</sheetData>
  <mergeCells count="154">
    <mergeCell ref="A3:C3"/>
    <mergeCell ref="D3:G3"/>
    <mergeCell ref="H3:N3"/>
    <mergeCell ref="AL3:AR3"/>
    <mergeCell ref="A4:C4"/>
    <mergeCell ref="D4:G4"/>
    <mergeCell ref="H4:N4"/>
    <mergeCell ref="O4:AK4"/>
    <mergeCell ref="AL4:AR4"/>
    <mergeCell ref="A5:C5"/>
    <mergeCell ref="D5:G5"/>
    <mergeCell ref="H5:N5"/>
    <mergeCell ref="O5:AK5"/>
    <mergeCell ref="AL5:AR5"/>
    <mergeCell ref="A6:C6"/>
    <mergeCell ref="D6:G6"/>
    <mergeCell ref="H6:N6"/>
    <mergeCell ref="O6:AK6"/>
    <mergeCell ref="AL6:AR6"/>
    <mergeCell ref="A7:C7"/>
    <mergeCell ref="D7:G7"/>
    <mergeCell ref="H7:N7"/>
    <mergeCell ref="O7:AK7"/>
    <mergeCell ref="AL7:AR7"/>
    <mergeCell ref="A8:C8"/>
    <mergeCell ref="D8:G8"/>
    <mergeCell ref="H8:N8"/>
    <mergeCell ref="O8:AK8"/>
    <mergeCell ref="AL8:AR8"/>
    <mergeCell ref="A9:C9"/>
    <mergeCell ref="D9:G9"/>
    <mergeCell ref="H9:N9"/>
    <mergeCell ref="O9:AK9"/>
    <mergeCell ref="AL9:AR9"/>
    <mergeCell ref="A10:C10"/>
    <mergeCell ref="D10:G10"/>
    <mergeCell ref="H10:N10"/>
    <mergeCell ref="O10:AK10"/>
    <mergeCell ref="AL10:AR10"/>
    <mergeCell ref="A11:C11"/>
    <mergeCell ref="D11:G11"/>
    <mergeCell ref="H11:N11"/>
    <mergeCell ref="O11:AK11"/>
    <mergeCell ref="AL11:AR11"/>
    <mergeCell ref="A12:C12"/>
    <mergeCell ref="D12:G12"/>
    <mergeCell ref="H12:N12"/>
    <mergeCell ref="O12:AK12"/>
    <mergeCell ref="AL12:AR12"/>
    <mergeCell ref="A13:C13"/>
    <mergeCell ref="D13:G13"/>
    <mergeCell ref="H13:N13"/>
    <mergeCell ref="O13:AK13"/>
    <mergeCell ref="AL13:AR13"/>
    <mergeCell ref="A14:C14"/>
    <mergeCell ref="D14:G14"/>
    <mergeCell ref="H14:N14"/>
    <mergeCell ref="O14:AK14"/>
    <mergeCell ref="AL14:AR14"/>
    <mergeCell ref="A15:C15"/>
    <mergeCell ref="D15:G15"/>
    <mergeCell ref="H15:N15"/>
    <mergeCell ref="O15:AK15"/>
    <mergeCell ref="AL15:AR15"/>
    <mergeCell ref="A16:C16"/>
    <mergeCell ref="D16:G16"/>
    <mergeCell ref="H16:N16"/>
    <mergeCell ref="O16:AK16"/>
    <mergeCell ref="AL16:AR16"/>
    <mergeCell ref="A17:C17"/>
    <mergeCell ref="D17:G17"/>
    <mergeCell ref="H17:N17"/>
    <mergeCell ref="O17:AK17"/>
    <mergeCell ref="AL17:AR17"/>
    <mergeCell ref="A18:C18"/>
    <mergeCell ref="D18:G18"/>
    <mergeCell ref="H18:N18"/>
    <mergeCell ref="O18:AK18"/>
    <mergeCell ref="AL18:AR18"/>
    <mergeCell ref="A19:C19"/>
    <mergeCell ref="D19:G19"/>
    <mergeCell ref="H19:N19"/>
    <mergeCell ref="O19:AK19"/>
    <mergeCell ref="AL19:AR19"/>
    <mergeCell ref="A20:C20"/>
    <mergeCell ref="D20:G20"/>
    <mergeCell ref="H20:N20"/>
    <mergeCell ref="O20:AK20"/>
    <mergeCell ref="AL20:AR20"/>
    <mergeCell ref="A21:C21"/>
    <mergeCell ref="D21:G21"/>
    <mergeCell ref="H21:N21"/>
    <mergeCell ref="O21:AK21"/>
    <mergeCell ref="AL21:AR21"/>
    <mergeCell ref="A22:C22"/>
    <mergeCell ref="D22:G22"/>
    <mergeCell ref="H22:N22"/>
    <mergeCell ref="O22:AK22"/>
    <mergeCell ref="AL22:AR22"/>
    <mergeCell ref="A23:C23"/>
    <mergeCell ref="D23:G23"/>
    <mergeCell ref="H23:N23"/>
    <mergeCell ref="O23:AK23"/>
    <mergeCell ref="AL23:AR23"/>
    <mergeCell ref="A24:C24"/>
    <mergeCell ref="D24:G24"/>
    <mergeCell ref="H24:N24"/>
    <mergeCell ref="O24:AK24"/>
    <mergeCell ref="AL24:AR24"/>
    <mergeCell ref="A25:C25"/>
    <mergeCell ref="D25:G25"/>
    <mergeCell ref="H25:N25"/>
    <mergeCell ref="O25:AK25"/>
    <mergeCell ref="AL25:AR25"/>
    <mergeCell ref="A26:C26"/>
    <mergeCell ref="D26:G26"/>
    <mergeCell ref="H26:N26"/>
    <mergeCell ref="O26:AK26"/>
    <mergeCell ref="AL26:AR26"/>
    <mergeCell ref="A27:C27"/>
    <mergeCell ref="D27:G27"/>
    <mergeCell ref="H27:N27"/>
    <mergeCell ref="O27:AK27"/>
    <mergeCell ref="AL27:AR27"/>
    <mergeCell ref="A28:C28"/>
    <mergeCell ref="D28:G28"/>
    <mergeCell ref="H28:N28"/>
    <mergeCell ref="O28:AK28"/>
    <mergeCell ref="AL28:AR28"/>
    <mergeCell ref="A29:C29"/>
    <mergeCell ref="D29:G29"/>
    <mergeCell ref="H29:N29"/>
    <mergeCell ref="O29:AK29"/>
    <mergeCell ref="AL29:AR29"/>
    <mergeCell ref="A30:C30"/>
    <mergeCell ref="D30:G30"/>
    <mergeCell ref="H30:N30"/>
    <mergeCell ref="O30:AK30"/>
    <mergeCell ref="AL30:AR30"/>
    <mergeCell ref="A33:C33"/>
    <mergeCell ref="D33:G33"/>
    <mergeCell ref="H33:N33"/>
    <mergeCell ref="O33:AK33"/>
    <mergeCell ref="AL33:AR33"/>
    <mergeCell ref="A31:C31"/>
    <mergeCell ref="D31:G31"/>
    <mergeCell ref="H31:N31"/>
    <mergeCell ref="O31:AK31"/>
    <mergeCell ref="AL31:AR31"/>
    <mergeCell ref="A32:C32"/>
    <mergeCell ref="D32:G32"/>
    <mergeCell ref="H32:N32"/>
    <mergeCell ref="O32:AK32"/>
    <mergeCell ref="AL32:AR32"/>
  </mergeCells>
  <phoneticPr fontId="1"/>
  <pageMargins left="0.39370078740157483" right="0.39370078740157483" top="0.78740157480314965" bottom="0.78740157480314965" header="0.51181102362204722" footer="0.51181102362204722"/>
  <pageSetup paperSize="9" orientation="landscape" horizontalDpi="300" verticalDpi="300" r:id="rId1"/>
  <headerFooter alignWithMargins="0">
    <oddHeader>&amp;L株式会社日本ブレーン&amp;R&amp;P／&amp;N</oddHeader>
    <oddFooter>&amp;L（社外秘）&amp;R印刷日：&amp;D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I9"/>
  <sheetViews>
    <sheetView tabSelected="1" zoomScale="70" zoomScaleNormal="70" zoomScaleSheetLayoutView="85" workbookViewId="0">
      <pane xSplit="3" ySplit="4" topLeftCell="D5" activePane="bottomRight" state="frozen"/>
      <selection pane="topRight" activeCell="B1" sqref="B1"/>
      <selection pane="bottomLeft" activeCell="A3" sqref="A3"/>
      <selection pane="bottomRight" activeCell="D5" sqref="D5"/>
    </sheetView>
  </sheetViews>
  <sheetFormatPr defaultRowHeight="18.75"/>
  <cols>
    <col min="1" max="1" width="3.25" style="72" customWidth="1"/>
    <col min="2" max="2" width="8.375" style="72" customWidth="1"/>
    <col min="3" max="3" width="38.625" style="72" customWidth="1"/>
    <col min="4" max="4" width="28.625" style="72" customWidth="1"/>
    <col min="5" max="5" width="11.25" style="72" bestFit="1" customWidth="1"/>
    <col min="6" max="6" width="9" style="72"/>
    <col min="7" max="7" width="17.25" style="72" customWidth="1"/>
    <col min="8" max="8" width="98.75" style="72" customWidth="1"/>
    <col min="9" max="9" width="69.125" style="72" customWidth="1"/>
    <col min="10" max="16384" width="9" style="72"/>
  </cols>
  <sheetData>
    <row r="1" spans="1:9" s="67" customFormat="1" ht="30" customHeight="1">
      <c r="A1" s="65" t="s">
        <v>153</v>
      </c>
      <c r="B1" s="65" t="s">
        <v>154</v>
      </c>
      <c r="C1" s="66"/>
    </row>
    <row r="2" spans="1:9" s="67" customFormat="1" ht="8.25" customHeight="1">
      <c r="A2" s="68"/>
      <c r="B2" s="68"/>
      <c r="C2" s="69"/>
    </row>
    <row r="3" spans="1:9" s="70" customFormat="1" ht="40.5" customHeight="1">
      <c r="B3" s="93" t="s">
        <v>155</v>
      </c>
      <c r="C3" s="93" t="s">
        <v>156</v>
      </c>
      <c r="D3" s="93" t="s">
        <v>157</v>
      </c>
      <c r="E3" s="94" t="s">
        <v>158</v>
      </c>
      <c r="F3" s="93" t="s">
        <v>159</v>
      </c>
      <c r="G3" s="93" t="s">
        <v>160</v>
      </c>
      <c r="H3" s="93" t="s">
        <v>161</v>
      </c>
      <c r="I3" s="93" t="s">
        <v>162</v>
      </c>
    </row>
    <row r="4" spans="1:9" s="71" customFormat="1">
      <c r="B4" s="93"/>
      <c r="C4" s="93"/>
      <c r="D4" s="93"/>
      <c r="E4" s="95"/>
      <c r="F4" s="93"/>
      <c r="G4" s="93"/>
      <c r="H4" s="93"/>
      <c r="I4" s="93"/>
    </row>
    <row r="5" spans="1:9">
      <c r="B5" s="73">
        <v>1</v>
      </c>
      <c r="C5" s="74" t="s">
        <v>167</v>
      </c>
      <c r="D5" s="74" t="s">
        <v>168</v>
      </c>
      <c r="E5" s="76" t="s">
        <v>170</v>
      </c>
      <c r="F5" s="76" t="s">
        <v>163</v>
      </c>
      <c r="G5" s="76" t="s">
        <v>164</v>
      </c>
      <c r="H5" s="76"/>
      <c r="I5" s="76"/>
    </row>
    <row r="6" spans="1:9">
      <c r="B6" s="73">
        <v>2</v>
      </c>
      <c r="C6" s="74" t="s">
        <v>169</v>
      </c>
      <c r="D6" s="74" t="s">
        <v>171</v>
      </c>
      <c r="E6" s="76" t="s">
        <v>165</v>
      </c>
      <c r="F6" s="76" t="s">
        <v>166</v>
      </c>
      <c r="G6" s="76" t="s">
        <v>164</v>
      </c>
      <c r="H6" s="76"/>
      <c r="I6" s="76"/>
    </row>
    <row r="7" spans="1:9">
      <c r="B7" s="73"/>
      <c r="C7" s="74"/>
      <c r="D7" s="74"/>
      <c r="E7" s="74"/>
      <c r="F7" s="75"/>
      <c r="G7" s="76"/>
      <c r="H7" s="76"/>
      <c r="I7" s="76"/>
    </row>
    <row r="8" spans="1:9">
      <c r="B8" s="73"/>
      <c r="C8" s="77"/>
      <c r="D8" s="74"/>
      <c r="E8" s="74"/>
      <c r="F8" s="75"/>
      <c r="G8" s="78"/>
      <c r="H8" s="78"/>
      <c r="I8" s="78"/>
    </row>
    <row r="9" spans="1:9">
      <c r="B9" s="73"/>
      <c r="C9" s="77"/>
      <c r="D9" s="77"/>
      <c r="E9" s="77"/>
      <c r="F9" s="75"/>
      <c r="G9" s="78"/>
      <c r="H9" s="78"/>
      <c r="I9" s="78"/>
    </row>
  </sheetData>
  <autoFilter ref="A4:I9"/>
  <mergeCells count="8">
    <mergeCell ref="H3:H4"/>
    <mergeCell ref="I3:I4"/>
    <mergeCell ref="B3:B4"/>
    <mergeCell ref="C3:C4"/>
    <mergeCell ref="D3:D4"/>
    <mergeCell ref="E3:E4"/>
    <mergeCell ref="F3:F4"/>
    <mergeCell ref="G3:G4"/>
  </mergeCells>
  <phoneticPr fontId="129"/>
  <pageMargins left="0.70866141732283472" right="0.70866141732283472" top="0.74803149606299213" bottom="0.74803149606299213" header="0.31496062992125984" footer="0.31496062992125984"/>
  <pageSetup paperSize="8" fitToWidth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[3]リスト!#REF!</xm:f>
          </x14:formula1>
          <xm:sqref>E5:G1048576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N84"/>
  <sheetViews>
    <sheetView showGridLines="0" zoomScale="115" zoomScaleNormal="115" zoomScaleSheetLayoutView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ColWidth="4.625" defaultRowHeight="15" customHeight="1"/>
  <cols>
    <col min="1" max="20" width="4.625" style="2"/>
    <col min="21" max="21" width="4.625" style="2" customWidth="1"/>
    <col min="22" max="30" width="4.625" style="2"/>
    <col min="31" max="31" width="6.75" style="2" bestFit="1" customWidth="1"/>
    <col min="32" max="37" width="4.625" style="2"/>
    <col min="38" max="38" width="7.25" style="2" bestFit="1" customWidth="1"/>
    <col min="39" max="16384" width="4.625" style="2"/>
  </cols>
  <sheetData>
    <row r="1" spans="1:40" s="1" customFormat="1" ht="15" customHeight="1" thickTop="1">
      <c r="A1" s="109" t="s">
        <v>34</v>
      </c>
      <c r="B1" s="110"/>
      <c r="C1" s="110"/>
      <c r="D1" s="110"/>
      <c r="E1" s="111"/>
      <c r="F1" s="132" t="s">
        <v>35</v>
      </c>
      <c r="G1" s="133"/>
      <c r="H1" s="134"/>
      <c r="I1" s="134"/>
      <c r="J1" s="38"/>
      <c r="K1" s="34"/>
      <c r="L1" s="34"/>
      <c r="M1" s="34"/>
      <c r="N1" s="34"/>
      <c r="O1" s="34"/>
      <c r="P1" s="135" t="s">
        <v>36</v>
      </c>
      <c r="Q1" s="133"/>
      <c r="R1" s="133"/>
      <c r="S1" s="136"/>
      <c r="T1" s="33"/>
      <c r="U1" s="33"/>
      <c r="V1" s="34"/>
      <c r="W1" s="34"/>
      <c r="X1" s="34"/>
      <c r="Y1" s="35"/>
      <c r="Z1" s="137" t="s">
        <v>53</v>
      </c>
      <c r="AA1" s="126" t="s">
        <v>37</v>
      </c>
      <c r="AB1" s="127"/>
    </row>
    <row r="2" spans="1:40" s="1" customFormat="1" ht="15" customHeight="1">
      <c r="A2" s="112"/>
      <c r="B2" s="113"/>
      <c r="C2" s="113"/>
      <c r="D2" s="113"/>
      <c r="E2" s="114"/>
      <c r="F2" s="132" t="s">
        <v>38</v>
      </c>
      <c r="G2" s="133"/>
      <c r="H2" s="134"/>
      <c r="I2" s="134"/>
      <c r="J2" s="38" t="s">
        <v>102</v>
      </c>
      <c r="K2" s="34"/>
      <c r="L2" s="34"/>
      <c r="M2" s="34"/>
      <c r="N2" s="34"/>
      <c r="O2" s="34"/>
      <c r="P2" s="135" t="s">
        <v>39</v>
      </c>
      <c r="Q2" s="133"/>
      <c r="R2" s="133"/>
      <c r="S2" s="136"/>
      <c r="T2" s="39" t="s">
        <v>55</v>
      </c>
      <c r="U2" s="33"/>
      <c r="V2" s="36" t="s">
        <v>88</v>
      </c>
      <c r="W2" s="33"/>
      <c r="X2" s="33"/>
      <c r="Y2" s="37"/>
      <c r="Z2" s="138"/>
      <c r="AA2" s="128"/>
      <c r="AB2" s="129"/>
    </row>
    <row r="3" spans="1:40" s="1" customFormat="1" ht="15" customHeight="1" thickBot="1">
      <c r="A3" s="115"/>
      <c r="B3" s="116"/>
      <c r="C3" s="116"/>
      <c r="D3" s="116"/>
      <c r="E3" s="117"/>
      <c r="F3" s="132" t="s">
        <v>40</v>
      </c>
      <c r="G3" s="133"/>
      <c r="H3" s="134"/>
      <c r="I3" s="134"/>
      <c r="J3" s="52" t="s">
        <v>149</v>
      </c>
      <c r="K3" s="34"/>
      <c r="L3" s="34"/>
      <c r="M3" s="34"/>
      <c r="N3" s="34"/>
      <c r="O3" s="34"/>
      <c r="P3" s="135" t="s">
        <v>41</v>
      </c>
      <c r="Q3" s="133"/>
      <c r="R3" s="133"/>
      <c r="S3" s="136"/>
      <c r="T3" s="33"/>
      <c r="U3" s="33"/>
      <c r="V3" s="36"/>
      <c r="W3" s="33"/>
      <c r="X3" s="33"/>
      <c r="Y3" s="37"/>
      <c r="Z3" s="139"/>
      <c r="AA3" s="130"/>
      <c r="AB3" s="131"/>
    </row>
    <row r="4" spans="1:40" ht="15" customHeight="1" thickTop="1"/>
    <row r="5" spans="1:40" ht="15" customHeight="1">
      <c r="A5" s="105" t="s">
        <v>42</v>
      </c>
      <c r="B5" s="102" t="s">
        <v>91</v>
      </c>
      <c r="C5" s="103"/>
      <c r="D5" s="103"/>
      <c r="E5" s="103"/>
      <c r="F5" s="103"/>
      <c r="G5" s="103"/>
      <c r="H5" s="103"/>
      <c r="I5" s="103"/>
      <c r="J5" s="104"/>
      <c r="K5" s="102" t="s">
        <v>92</v>
      </c>
      <c r="L5" s="103"/>
      <c r="M5" s="103"/>
      <c r="N5" s="104"/>
      <c r="O5" s="107" t="s">
        <v>43</v>
      </c>
      <c r="P5" s="124" t="s">
        <v>147</v>
      </c>
      <c r="Q5" s="96" t="s">
        <v>95</v>
      </c>
      <c r="R5" s="98"/>
      <c r="S5" s="96" t="s">
        <v>46</v>
      </c>
      <c r="T5" s="97"/>
      <c r="U5" s="97"/>
      <c r="V5" s="97"/>
      <c r="W5" s="97"/>
      <c r="X5" s="97"/>
      <c r="Y5" s="97"/>
      <c r="Z5" s="97"/>
      <c r="AA5" s="97"/>
      <c r="AB5" s="98"/>
      <c r="AD5" s="2" t="str">
        <f>"-- " &amp; J2</f>
        <v>-- 銘柄基本情報</v>
      </c>
    </row>
    <row r="6" spans="1:40" ht="15" customHeight="1" thickBot="1">
      <c r="A6" s="106"/>
      <c r="B6" s="118" t="s">
        <v>90</v>
      </c>
      <c r="C6" s="119"/>
      <c r="D6" s="119"/>
      <c r="E6" s="120"/>
      <c r="F6" s="121" t="s">
        <v>89</v>
      </c>
      <c r="G6" s="121"/>
      <c r="H6" s="121"/>
      <c r="I6" s="121"/>
      <c r="J6" s="121"/>
      <c r="K6" s="122" t="s">
        <v>93</v>
      </c>
      <c r="L6" s="123"/>
      <c r="M6" s="18" t="s">
        <v>94</v>
      </c>
      <c r="N6" s="16" t="s">
        <v>45</v>
      </c>
      <c r="O6" s="108"/>
      <c r="P6" s="125"/>
      <c r="Q6" s="99"/>
      <c r="R6" s="101"/>
      <c r="S6" s="99"/>
      <c r="T6" s="100"/>
      <c r="U6" s="100"/>
      <c r="V6" s="100"/>
      <c r="W6" s="100"/>
      <c r="X6" s="100"/>
      <c r="Y6" s="100"/>
      <c r="Z6" s="100"/>
      <c r="AA6" s="100"/>
      <c r="AB6" s="101"/>
      <c r="AD6" s="2" t="str">
        <f>"CREATE TABLE " &amp; J3 &amp;" ("</f>
        <v>CREATE TABLE equity_statistics (</v>
      </c>
    </row>
    <row r="7" spans="1:40" ht="15" customHeight="1" thickTop="1">
      <c r="A7" s="10">
        <v>1</v>
      </c>
      <c r="B7" s="24" t="s">
        <v>56</v>
      </c>
      <c r="C7" s="25"/>
      <c r="D7" s="25"/>
      <c r="E7" s="26"/>
      <c r="F7" s="24" t="s">
        <v>0</v>
      </c>
      <c r="G7" s="25"/>
      <c r="H7" s="25"/>
      <c r="I7" s="25"/>
      <c r="J7" s="26"/>
      <c r="K7" s="24" t="s">
        <v>146</v>
      </c>
      <c r="L7" s="23"/>
      <c r="M7" s="27">
        <v>10</v>
      </c>
      <c r="N7" s="28"/>
      <c r="O7" s="17" t="s">
        <v>96</v>
      </c>
      <c r="P7" s="17" t="s">
        <v>96</v>
      </c>
      <c r="Q7" s="24"/>
      <c r="R7" s="23"/>
      <c r="S7" s="19"/>
      <c r="T7" s="20"/>
      <c r="U7" s="20"/>
      <c r="V7" s="20"/>
      <c r="W7" s="20"/>
      <c r="X7" s="21"/>
      <c r="Y7" s="20"/>
      <c r="Z7" s="20"/>
      <c r="AA7" s="21"/>
      <c r="AB7" s="22"/>
      <c r="AE7" s="2" t="str">
        <f>F7</f>
        <v>symbol</v>
      </c>
      <c r="AJ7" s="2" t="str">
        <f>K7&amp;IF(M7&lt;&gt;"","("&amp;M7&amp;")","")</f>
        <v>TEXT(10)</v>
      </c>
      <c r="AN7" s="2" t="str">
        <f>","</f>
        <v>,</v>
      </c>
    </row>
    <row r="8" spans="1:40" ht="15" customHeight="1">
      <c r="A8" s="11">
        <v>2</v>
      </c>
      <c r="B8" s="24" t="s">
        <v>57</v>
      </c>
      <c r="C8" s="25"/>
      <c r="D8" s="25"/>
      <c r="E8" s="26"/>
      <c r="F8" s="24" t="s">
        <v>2</v>
      </c>
      <c r="G8" s="25"/>
      <c r="H8" s="25"/>
      <c r="I8" s="25"/>
      <c r="J8" s="26"/>
      <c r="K8" s="24" t="s">
        <v>146</v>
      </c>
      <c r="L8" s="23"/>
      <c r="M8" s="29">
        <v>50</v>
      </c>
      <c r="N8" s="30"/>
      <c r="O8" s="12"/>
      <c r="P8" s="13"/>
      <c r="Q8" s="24"/>
      <c r="R8" s="23"/>
      <c r="S8" s="24"/>
      <c r="T8" s="15"/>
      <c r="U8" s="20"/>
      <c r="V8" s="20"/>
      <c r="W8" s="20"/>
      <c r="X8" s="21"/>
      <c r="Y8" s="15"/>
      <c r="Z8" s="15"/>
      <c r="AA8" s="31"/>
      <c r="AB8" s="32"/>
      <c r="AE8" s="2" t="str">
        <f t="shared" ref="AE8:AE54" si="0">F8</f>
        <v>name</v>
      </c>
      <c r="AJ8" s="2" t="str">
        <f t="shared" ref="AJ8:AJ15" si="1">K8&amp;IF(M8&lt;&gt;"","("&amp;M8&amp;")","")</f>
        <v>TEXT(50)</v>
      </c>
      <c r="AN8" s="2" t="str">
        <f t="shared" ref="AN8:AN54" si="2">","</f>
        <v>,</v>
      </c>
    </row>
    <row r="9" spans="1:40" ht="15" customHeight="1">
      <c r="A9" s="11">
        <v>3</v>
      </c>
      <c r="B9" s="24" t="s">
        <v>58</v>
      </c>
      <c r="C9" s="25"/>
      <c r="D9" s="25"/>
      <c r="E9" s="26"/>
      <c r="F9" s="24" t="s">
        <v>3</v>
      </c>
      <c r="G9" s="25"/>
      <c r="H9" s="25"/>
      <c r="I9" s="25"/>
      <c r="J9" s="26"/>
      <c r="K9" s="24" t="s">
        <v>146</v>
      </c>
      <c r="L9" s="23"/>
      <c r="M9" s="29">
        <v>30</v>
      </c>
      <c r="N9" s="30"/>
      <c r="O9" s="12"/>
      <c r="P9" s="13"/>
      <c r="Q9" s="24"/>
      <c r="R9" s="23"/>
      <c r="S9" s="47"/>
      <c r="T9" s="15"/>
      <c r="U9" s="20"/>
      <c r="V9" s="20"/>
      <c r="W9" s="20"/>
      <c r="X9" s="21"/>
      <c r="Y9" s="15"/>
      <c r="Z9" s="15"/>
      <c r="AA9" s="31"/>
      <c r="AB9" s="32"/>
      <c r="AE9" s="2" t="str">
        <f t="shared" si="0"/>
        <v>exchange</v>
      </c>
      <c r="AJ9" s="2" t="str">
        <f t="shared" si="1"/>
        <v>TEXT(30)</v>
      </c>
      <c r="AN9" s="2" t="str">
        <f t="shared" si="2"/>
        <v>,</v>
      </c>
    </row>
    <row r="10" spans="1:40" ht="15" customHeight="1">
      <c r="A10" s="11">
        <v>4</v>
      </c>
      <c r="B10" s="24" t="s">
        <v>111</v>
      </c>
      <c r="C10" s="25"/>
      <c r="D10" s="25"/>
      <c r="E10" s="26"/>
      <c r="F10" s="24" t="s">
        <v>4</v>
      </c>
      <c r="G10" s="25"/>
      <c r="H10" s="25"/>
      <c r="I10" s="25"/>
      <c r="J10" s="26"/>
      <c r="K10" s="24" t="s">
        <v>146</v>
      </c>
      <c r="L10" s="23"/>
      <c r="M10" s="40">
        <v>10</v>
      </c>
      <c r="N10" s="30"/>
      <c r="O10" s="12"/>
      <c r="P10" s="13"/>
      <c r="Q10" s="24"/>
      <c r="R10" s="23"/>
      <c r="S10" s="24" t="s">
        <v>105</v>
      </c>
      <c r="T10" s="15"/>
      <c r="U10" s="20"/>
      <c r="V10" s="20"/>
      <c r="W10" s="20"/>
      <c r="X10" s="21"/>
      <c r="Y10" s="15"/>
      <c r="Z10" s="15"/>
      <c r="AA10" s="31"/>
      <c r="AB10" s="32"/>
      <c r="AE10" s="2" t="str">
        <f t="shared" si="0"/>
        <v>established_date</v>
      </c>
      <c r="AJ10" s="2" t="str">
        <f t="shared" si="1"/>
        <v>TEXT(10)</v>
      </c>
      <c r="AN10" s="2" t="str">
        <f t="shared" si="2"/>
        <v>,</v>
      </c>
    </row>
    <row r="11" spans="1:40" ht="15" customHeight="1">
      <c r="A11" s="11">
        <v>5</v>
      </c>
      <c r="B11" s="24" t="s">
        <v>109</v>
      </c>
      <c r="C11" s="25"/>
      <c r="D11" s="25"/>
      <c r="E11" s="26"/>
      <c r="F11" s="24" t="s">
        <v>101</v>
      </c>
      <c r="G11" s="25"/>
      <c r="H11" s="25"/>
      <c r="I11" s="25"/>
      <c r="J11" s="26"/>
      <c r="K11" s="24" t="s">
        <v>146</v>
      </c>
      <c r="L11" s="23"/>
      <c r="M11" s="40">
        <v>10</v>
      </c>
      <c r="N11" s="30"/>
      <c r="O11" s="12"/>
      <c r="P11" s="13"/>
      <c r="Q11" s="24"/>
      <c r="R11" s="23"/>
      <c r="S11" s="24" t="s">
        <v>105</v>
      </c>
      <c r="T11" s="15"/>
      <c r="U11" s="20"/>
      <c r="V11" s="20"/>
      <c r="W11" s="20"/>
      <c r="X11" s="21"/>
      <c r="Y11" s="15"/>
      <c r="Z11" s="15"/>
      <c r="AA11" s="31"/>
      <c r="AB11" s="32"/>
      <c r="AE11" s="2" t="str">
        <f t="shared" si="0"/>
        <v>listing_date</v>
      </c>
      <c r="AJ11" s="2" t="str">
        <f t="shared" si="1"/>
        <v>TEXT(10)</v>
      </c>
      <c r="AN11" s="2" t="str">
        <f t="shared" si="2"/>
        <v>,</v>
      </c>
    </row>
    <row r="12" spans="1:40" ht="15" customHeight="1">
      <c r="A12" s="11">
        <v>6</v>
      </c>
      <c r="B12" s="24" t="s">
        <v>60</v>
      </c>
      <c r="C12" s="25"/>
      <c r="D12" s="25"/>
      <c r="E12" s="26"/>
      <c r="F12" s="24" t="s">
        <v>5</v>
      </c>
      <c r="G12" s="25"/>
      <c r="H12" s="25"/>
      <c r="I12" s="25"/>
      <c r="J12" s="26"/>
      <c r="K12" s="24" t="s">
        <v>146</v>
      </c>
      <c r="L12" s="23"/>
      <c r="M12" s="29"/>
      <c r="N12" s="30"/>
      <c r="O12" s="12"/>
      <c r="P12" s="13"/>
      <c r="Q12" s="24"/>
      <c r="R12" s="23"/>
      <c r="S12" s="24"/>
      <c r="T12" s="15"/>
      <c r="U12" s="20"/>
      <c r="V12" s="20"/>
      <c r="W12" s="20"/>
      <c r="X12" s="21"/>
      <c r="Y12" s="15"/>
      <c r="Z12" s="15"/>
      <c r="AA12" s="31"/>
      <c r="AB12" s="32"/>
      <c r="AE12" s="2" t="str">
        <f t="shared" si="0"/>
        <v>sector</v>
      </c>
      <c r="AJ12" s="2" t="str">
        <f t="shared" si="1"/>
        <v>TEXT</v>
      </c>
      <c r="AN12" s="2" t="str">
        <f t="shared" si="2"/>
        <v>,</v>
      </c>
    </row>
    <row r="13" spans="1:40" ht="15" customHeight="1">
      <c r="A13" s="11">
        <v>7</v>
      </c>
      <c r="B13" s="24" t="s">
        <v>61</v>
      </c>
      <c r="C13" s="25"/>
      <c r="D13" s="25"/>
      <c r="E13" s="26"/>
      <c r="F13" s="24" t="s">
        <v>6</v>
      </c>
      <c r="G13" s="25"/>
      <c r="H13" s="25"/>
      <c r="I13" s="25"/>
      <c r="J13" s="26"/>
      <c r="K13" s="24" t="s">
        <v>146</v>
      </c>
      <c r="L13" s="23"/>
      <c r="M13" s="29"/>
      <c r="N13" s="30"/>
      <c r="O13" s="12"/>
      <c r="P13" s="13"/>
      <c r="Q13" s="24"/>
      <c r="R13" s="23"/>
      <c r="S13" s="24"/>
      <c r="T13" s="15"/>
      <c r="U13" s="20"/>
      <c r="V13" s="20"/>
      <c r="W13" s="20"/>
      <c r="X13" s="21"/>
      <c r="Y13" s="15"/>
      <c r="Z13" s="15"/>
      <c r="AA13" s="31"/>
      <c r="AB13" s="32"/>
      <c r="AE13" s="2" t="str">
        <f t="shared" si="0"/>
        <v>industry</v>
      </c>
      <c r="AJ13" s="2" t="str">
        <f t="shared" si="1"/>
        <v>TEXT</v>
      </c>
      <c r="AN13" s="2" t="str">
        <f t="shared" si="2"/>
        <v>,</v>
      </c>
    </row>
    <row r="14" spans="1:40" ht="15" customHeight="1">
      <c r="A14" s="11">
        <v>9</v>
      </c>
      <c r="B14" s="24" t="s">
        <v>63</v>
      </c>
      <c r="C14" s="25"/>
      <c r="D14" s="25"/>
      <c r="E14" s="26"/>
      <c r="F14" s="24" t="s">
        <v>143</v>
      </c>
      <c r="G14" s="25"/>
      <c r="H14" s="25"/>
      <c r="I14" s="25"/>
      <c r="J14" s="26"/>
      <c r="K14" s="43" t="s">
        <v>148</v>
      </c>
      <c r="L14" s="44"/>
      <c r="M14" s="29"/>
      <c r="N14" s="30"/>
      <c r="O14" s="12"/>
      <c r="P14" s="13"/>
      <c r="Q14" s="24"/>
      <c r="R14" s="23"/>
      <c r="S14" s="24" t="s">
        <v>112</v>
      </c>
      <c r="T14" s="15"/>
      <c r="U14" s="20"/>
      <c r="V14" s="20"/>
      <c r="W14" s="20"/>
      <c r="X14" s="21"/>
      <c r="Y14" s="15"/>
      <c r="Z14" s="15"/>
      <c r="AA14" s="31"/>
      <c r="AB14" s="32"/>
      <c r="AE14" s="2" t="str">
        <f>F14</f>
        <v>dividend_yield</v>
      </c>
      <c r="AJ14" s="2" t="str">
        <f>K14&amp;IF(M14&lt;&gt;"","("&amp;M14&amp;")","")</f>
        <v>REAL</v>
      </c>
      <c r="AN14" s="2" t="str">
        <f t="shared" si="2"/>
        <v>,</v>
      </c>
    </row>
    <row r="15" spans="1:40" ht="15" customHeight="1">
      <c r="A15" s="11">
        <v>8</v>
      </c>
      <c r="B15" s="24" t="s">
        <v>68</v>
      </c>
      <c r="C15" s="25"/>
      <c r="D15" s="25"/>
      <c r="E15" s="26"/>
      <c r="F15" s="24" t="s">
        <v>15</v>
      </c>
      <c r="G15" s="25"/>
      <c r="H15" s="25"/>
      <c r="I15" s="25"/>
      <c r="J15" s="26"/>
      <c r="K15" s="24" t="s">
        <v>146</v>
      </c>
      <c r="L15" s="23"/>
      <c r="M15" s="40">
        <v>10</v>
      </c>
      <c r="N15" s="30"/>
      <c r="O15" s="12"/>
      <c r="P15" s="13"/>
      <c r="Q15" s="24"/>
      <c r="R15" s="23"/>
      <c r="S15" s="24" t="s">
        <v>105</v>
      </c>
      <c r="T15" s="15"/>
      <c r="U15" s="20"/>
      <c r="V15" s="20"/>
      <c r="W15" s="20"/>
      <c r="X15" s="21"/>
      <c r="Y15" s="15"/>
      <c r="Z15" s="15"/>
      <c r="AA15" s="31"/>
      <c r="AB15" s="32"/>
      <c r="AE15" s="2" t="str">
        <f t="shared" ref="AE15:AE20" si="3">F15</f>
        <v>ex_dividend_date</v>
      </c>
      <c r="AJ15" s="2" t="str">
        <f t="shared" si="1"/>
        <v>TEXT(10)</v>
      </c>
      <c r="AN15" s="2" t="str">
        <f t="shared" si="2"/>
        <v>,</v>
      </c>
    </row>
    <row r="16" spans="1:40" ht="15" customHeight="1">
      <c r="A16" s="11">
        <v>12</v>
      </c>
      <c r="B16" s="24" t="s">
        <v>70</v>
      </c>
      <c r="C16" s="25"/>
      <c r="D16" s="25"/>
      <c r="E16" s="26"/>
      <c r="F16" s="24" t="s">
        <v>145</v>
      </c>
      <c r="G16" s="25"/>
      <c r="H16" s="25"/>
      <c r="I16" s="25"/>
      <c r="J16" s="26"/>
      <c r="K16" s="43" t="s">
        <v>148</v>
      </c>
      <c r="L16" s="44"/>
      <c r="M16" s="29"/>
      <c r="N16" s="30"/>
      <c r="O16" s="12"/>
      <c r="P16" s="13"/>
      <c r="Q16" s="24"/>
      <c r="R16" s="23"/>
      <c r="S16" s="24" t="s">
        <v>112</v>
      </c>
      <c r="T16" s="15"/>
      <c r="U16" s="20"/>
      <c r="V16" s="20"/>
      <c r="W16" s="20"/>
      <c r="X16" s="21"/>
      <c r="Y16" s="15"/>
      <c r="Z16" s="15"/>
      <c r="AA16" s="31"/>
      <c r="AB16" s="32"/>
      <c r="AE16" s="2" t="str">
        <f t="shared" si="3"/>
        <v>year_change_ratio</v>
      </c>
      <c r="AJ16" s="2" t="str">
        <f t="shared" ref="AJ16:AJ20" si="4">K16&amp;IF(M16&lt;&gt;"","("&amp;M16&amp;")","")</f>
        <v>REAL</v>
      </c>
      <c r="AN16" s="2" t="str">
        <f t="shared" si="2"/>
        <v>,</v>
      </c>
    </row>
    <row r="17" spans="1:40" ht="15" customHeight="1">
      <c r="A17" s="11">
        <v>10</v>
      </c>
      <c r="B17" s="24" t="s">
        <v>115</v>
      </c>
      <c r="C17" s="25"/>
      <c r="D17" s="25"/>
      <c r="E17" s="26"/>
      <c r="F17" s="24" t="s">
        <v>114</v>
      </c>
      <c r="G17" s="25"/>
      <c r="H17" s="25"/>
      <c r="I17" s="25"/>
      <c r="J17" s="26"/>
      <c r="K17" s="43" t="s">
        <v>148</v>
      </c>
      <c r="L17" s="44"/>
      <c r="M17" s="29"/>
      <c r="N17" s="30"/>
      <c r="O17" s="12"/>
      <c r="P17" s="13"/>
      <c r="Q17" s="24"/>
      <c r="R17" s="23"/>
      <c r="S17" s="24" t="s">
        <v>116</v>
      </c>
      <c r="T17" s="15"/>
      <c r="U17" s="20"/>
      <c r="V17" s="20"/>
      <c r="W17" s="20"/>
      <c r="X17" s="21"/>
      <c r="Y17" s="15"/>
      <c r="Z17" s="15"/>
      <c r="AA17" s="31"/>
      <c r="AB17" s="32"/>
      <c r="AE17" s="2" t="str">
        <f>F17</f>
        <v>present_price</v>
      </c>
      <c r="AJ17" s="2" t="str">
        <f>K17&amp;IF(M17&lt;&gt;"","("&amp;M17&amp;")","")</f>
        <v>REAL</v>
      </c>
      <c r="AN17" s="2" t="str">
        <f t="shared" si="2"/>
        <v>,</v>
      </c>
    </row>
    <row r="18" spans="1:40" ht="15" customHeight="1">
      <c r="A18" s="11">
        <v>15</v>
      </c>
      <c r="B18" s="24" t="s">
        <v>69</v>
      </c>
      <c r="C18" s="25"/>
      <c r="D18" s="25"/>
      <c r="E18" s="26"/>
      <c r="F18" s="24" t="s">
        <v>130</v>
      </c>
      <c r="G18" s="25"/>
      <c r="H18" s="25"/>
      <c r="I18" s="25"/>
      <c r="J18" s="26"/>
      <c r="K18" s="43" t="s">
        <v>148</v>
      </c>
      <c r="L18" s="44"/>
      <c r="M18" s="29"/>
      <c r="N18" s="30"/>
      <c r="O18" s="12"/>
      <c r="P18" s="13"/>
      <c r="Q18" s="24"/>
      <c r="R18" s="23"/>
      <c r="S18" s="24" t="s">
        <v>116</v>
      </c>
      <c r="T18" s="15"/>
      <c r="U18" s="20"/>
      <c r="V18" s="20"/>
      <c r="W18" s="20"/>
      <c r="X18" s="21"/>
      <c r="Y18" s="15"/>
      <c r="Z18" s="15"/>
      <c r="AA18" s="31"/>
      <c r="AB18" s="32"/>
      <c r="AE18" s="2" t="str">
        <f>F18</f>
        <v>book_value_per_share</v>
      </c>
      <c r="AJ18" s="2" t="str">
        <f>K18&amp;IF(M18&lt;&gt;"","("&amp;M18&amp;")","")</f>
        <v>REAL</v>
      </c>
      <c r="AN18" s="2" t="str">
        <f t="shared" si="2"/>
        <v>,</v>
      </c>
    </row>
    <row r="19" spans="1:40" ht="15" customHeight="1">
      <c r="A19" s="11">
        <v>13</v>
      </c>
      <c r="B19" s="24" t="s">
        <v>122</v>
      </c>
      <c r="C19" s="25"/>
      <c r="D19" s="25"/>
      <c r="E19" s="26"/>
      <c r="F19" s="24" t="s">
        <v>17</v>
      </c>
      <c r="G19" s="25"/>
      <c r="H19" s="25"/>
      <c r="I19" s="25"/>
      <c r="J19" s="26"/>
      <c r="K19" s="43" t="s">
        <v>148</v>
      </c>
      <c r="L19" s="44"/>
      <c r="M19" s="29"/>
      <c r="N19" s="30"/>
      <c r="O19" s="12"/>
      <c r="P19" s="13"/>
      <c r="Q19" s="24"/>
      <c r="R19" s="23"/>
      <c r="S19" s="24" t="s">
        <v>116</v>
      </c>
      <c r="T19" s="15"/>
      <c r="U19" s="20"/>
      <c r="V19" s="20"/>
      <c r="W19" s="20"/>
      <c r="X19" s="21"/>
      <c r="Y19" s="15"/>
      <c r="Z19" s="15"/>
      <c r="AA19" s="31"/>
      <c r="AB19" s="32"/>
      <c r="AE19" s="2" t="str">
        <f>F19</f>
        <v>year_low</v>
      </c>
      <c r="AJ19" s="2" t="str">
        <f>K19&amp;IF(M19&lt;&gt;"","("&amp;M19&amp;")","")</f>
        <v>REAL</v>
      </c>
      <c r="AN19" s="2" t="str">
        <f t="shared" si="2"/>
        <v>,</v>
      </c>
    </row>
    <row r="20" spans="1:40" ht="15" customHeight="1">
      <c r="A20" s="11">
        <v>14</v>
      </c>
      <c r="B20" s="24" t="s">
        <v>121</v>
      </c>
      <c r="C20" s="25"/>
      <c r="D20" s="25"/>
      <c r="E20" s="26"/>
      <c r="F20" s="24" t="s">
        <v>16</v>
      </c>
      <c r="G20" s="25"/>
      <c r="H20" s="25"/>
      <c r="I20" s="25"/>
      <c r="J20" s="26"/>
      <c r="K20" s="43" t="s">
        <v>148</v>
      </c>
      <c r="L20" s="44"/>
      <c r="M20" s="29"/>
      <c r="N20" s="30"/>
      <c r="O20" s="12"/>
      <c r="P20" s="13"/>
      <c r="Q20" s="24"/>
      <c r="R20" s="23"/>
      <c r="S20" s="24" t="s">
        <v>116</v>
      </c>
      <c r="T20" s="15"/>
      <c r="U20" s="20"/>
      <c r="V20" s="20"/>
      <c r="W20" s="20"/>
      <c r="X20" s="21"/>
      <c r="Y20" s="15"/>
      <c r="Z20" s="15"/>
      <c r="AA20" s="31"/>
      <c r="AB20" s="32"/>
      <c r="AE20" s="2" t="str">
        <f t="shared" si="3"/>
        <v>year_high</v>
      </c>
      <c r="AJ20" s="2" t="str">
        <f t="shared" si="4"/>
        <v>REAL</v>
      </c>
      <c r="AN20" s="2" t="str">
        <f t="shared" si="2"/>
        <v>,</v>
      </c>
    </row>
    <row r="21" spans="1:40" ht="15" customHeight="1">
      <c r="A21" s="11">
        <v>28</v>
      </c>
      <c r="B21" s="24" t="s">
        <v>140</v>
      </c>
      <c r="C21" s="25"/>
      <c r="D21" s="25"/>
      <c r="E21" s="26"/>
      <c r="F21" s="24" t="s">
        <v>139</v>
      </c>
      <c r="G21" s="25"/>
      <c r="H21" s="25"/>
      <c r="I21" s="25"/>
      <c r="J21" s="26"/>
      <c r="K21" s="43" t="s">
        <v>148</v>
      </c>
      <c r="L21" s="44"/>
      <c r="M21" s="29"/>
      <c r="N21" s="30"/>
      <c r="O21" s="12"/>
      <c r="P21" s="13"/>
      <c r="Q21" s="24"/>
      <c r="R21" s="23"/>
      <c r="S21" s="24"/>
      <c r="T21" s="15"/>
      <c r="U21" s="20"/>
      <c r="V21" s="20"/>
      <c r="W21" s="20"/>
      <c r="X21" s="21"/>
      <c r="Y21" s="15"/>
      <c r="Z21" s="15"/>
      <c r="AA21" s="31"/>
      <c r="AB21" s="32"/>
      <c r="AE21" s="2" t="str">
        <f>F21</f>
        <v>moving_average</v>
      </c>
      <c r="AJ21" s="2" t="str">
        <f>K21&amp;IF(M21&lt;&gt;"","("&amp;M21&amp;")","")</f>
        <v>REAL</v>
      </c>
      <c r="AN21" s="2" t="str">
        <f t="shared" si="2"/>
        <v>,</v>
      </c>
    </row>
    <row r="22" spans="1:40" ht="15" customHeight="1">
      <c r="A22" s="11">
        <v>11</v>
      </c>
      <c r="B22" s="24" t="s">
        <v>117</v>
      </c>
      <c r="C22" s="25"/>
      <c r="D22" s="25"/>
      <c r="E22" s="26"/>
      <c r="F22" s="24" t="s">
        <v>118</v>
      </c>
      <c r="G22" s="25"/>
      <c r="H22" s="25"/>
      <c r="I22" s="25"/>
      <c r="J22" s="26"/>
      <c r="K22" s="24" t="s">
        <v>119</v>
      </c>
      <c r="L22" s="23"/>
      <c r="M22" s="29"/>
      <c r="N22" s="30"/>
      <c r="O22" s="12"/>
      <c r="P22" s="13"/>
      <c r="Q22" s="24"/>
      <c r="R22" s="23"/>
      <c r="S22" s="24"/>
      <c r="T22" s="15"/>
      <c r="U22" s="20"/>
      <c r="V22" s="20"/>
      <c r="W22" s="20"/>
      <c r="X22" s="21"/>
      <c r="Y22" s="15"/>
      <c r="Z22" s="15"/>
      <c r="AA22" s="31"/>
      <c r="AB22" s="32"/>
      <c r="AE22" s="2" t="str">
        <f>F22</f>
        <v>volume</v>
      </c>
      <c r="AJ22" s="2" t="str">
        <f>K22&amp;IF(M22&lt;&gt;"","("&amp;M22&amp;")","")</f>
        <v>INTEGER</v>
      </c>
      <c r="AN22" s="2" t="str">
        <f t="shared" si="2"/>
        <v>,</v>
      </c>
    </row>
    <row r="23" spans="1:40" ht="15" customHeight="1">
      <c r="A23" s="11">
        <v>16</v>
      </c>
      <c r="B23" s="24" t="s">
        <v>113</v>
      </c>
      <c r="C23" s="25"/>
      <c r="D23" s="25"/>
      <c r="E23" s="26"/>
      <c r="F23" s="24" t="s">
        <v>144</v>
      </c>
      <c r="G23" s="25"/>
      <c r="H23" s="25"/>
      <c r="I23" s="25"/>
      <c r="J23" s="26"/>
      <c r="K23" s="43" t="s">
        <v>148</v>
      </c>
      <c r="L23" s="44"/>
      <c r="M23" s="29"/>
      <c r="N23" s="30"/>
      <c r="O23" s="12"/>
      <c r="P23" s="13"/>
      <c r="Q23" s="24"/>
      <c r="R23" s="23"/>
      <c r="S23" s="24" t="s">
        <v>123</v>
      </c>
      <c r="T23" s="15"/>
      <c r="U23" s="20"/>
      <c r="V23" s="20"/>
      <c r="W23" s="20"/>
      <c r="X23" s="21"/>
      <c r="Y23" s="15"/>
      <c r="Z23" s="15"/>
      <c r="AA23" s="31"/>
      <c r="AB23" s="32"/>
      <c r="AE23" s="2" t="str">
        <f t="shared" si="0"/>
        <v>per</v>
      </c>
      <c r="AJ23" s="2" t="str">
        <f t="shared" ref="AJ23:AJ54" si="5">K23&amp;IF(M23&lt;&gt;"","("&amp;M23&amp;")","")</f>
        <v>REAL</v>
      </c>
      <c r="AN23" s="2" t="str">
        <f t="shared" si="2"/>
        <v>,</v>
      </c>
    </row>
    <row r="24" spans="1:40" ht="15" customHeight="1">
      <c r="A24" s="11">
        <v>17</v>
      </c>
      <c r="B24" s="24" t="s">
        <v>129</v>
      </c>
      <c r="C24" s="25"/>
      <c r="D24" s="25"/>
      <c r="E24" s="26"/>
      <c r="F24" s="24" t="s">
        <v>8</v>
      </c>
      <c r="G24" s="25"/>
      <c r="H24" s="25"/>
      <c r="I24" s="25"/>
      <c r="J24" s="26"/>
      <c r="K24" s="43" t="s">
        <v>148</v>
      </c>
      <c r="L24" s="44"/>
      <c r="M24" s="29"/>
      <c r="N24" s="30"/>
      <c r="O24" s="12"/>
      <c r="P24" s="13"/>
      <c r="Q24" s="24"/>
      <c r="R24" s="23"/>
      <c r="S24" s="24" t="s">
        <v>123</v>
      </c>
      <c r="T24" s="15"/>
      <c r="U24" s="20"/>
      <c r="V24" s="20"/>
      <c r="W24" s="20"/>
      <c r="X24" s="21"/>
      <c r="Y24" s="15"/>
      <c r="Z24" s="15"/>
      <c r="AA24" s="31"/>
      <c r="AB24" s="32"/>
      <c r="AE24" s="2" t="str">
        <f t="shared" si="0"/>
        <v>pbr</v>
      </c>
      <c r="AJ24" s="2" t="str">
        <f t="shared" si="5"/>
        <v>REAL</v>
      </c>
      <c r="AN24" s="2" t="str">
        <f t="shared" si="2"/>
        <v>,</v>
      </c>
    </row>
    <row r="25" spans="1:40" ht="15" customHeight="1">
      <c r="A25" s="11">
        <v>18</v>
      </c>
      <c r="B25" s="24" t="s">
        <v>141</v>
      </c>
      <c r="C25" s="25"/>
      <c r="D25" s="25"/>
      <c r="E25" s="26"/>
      <c r="F25" s="24" t="s">
        <v>134</v>
      </c>
      <c r="G25" s="25"/>
      <c r="H25" s="25"/>
      <c r="I25" s="25"/>
      <c r="J25" s="26"/>
      <c r="K25" s="43" t="s">
        <v>148</v>
      </c>
      <c r="L25" s="44"/>
      <c r="M25" s="29"/>
      <c r="N25" s="30"/>
      <c r="O25" s="12"/>
      <c r="P25" s="13"/>
      <c r="Q25" s="24"/>
      <c r="R25" s="23"/>
      <c r="S25" s="24" t="s">
        <v>136</v>
      </c>
      <c r="T25" s="15"/>
      <c r="U25" s="20"/>
      <c r="V25" s="20"/>
      <c r="W25" s="20"/>
      <c r="X25" s="21"/>
      <c r="Y25" s="15"/>
      <c r="Z25" s="15"/>
      <c r="AA25" s="31"/>
      <c r="AB25" s="32"/>
      <c r="AE25" s="2" t="str">
        <f t="shared" si="0"/>
        <v>ev_revenue</v>
      </c>
      <c r="AJ25" s="2" t="str">
        <f t="shared" si="5"/>
        <v>REAL</v>
      </c>
      <c r="AN25" s="2" t="str">
        <f t="shared" si="2"/>
        <v>,</v>
      </c>
    </row>
    <row r="26" spans="1:40" ht="15" customHeight="1">
      <c r="A26" s="11">
        <v>19</v>
      </c>
      <c r="B26" s="24" t="s">
        <v>142</v>
      </c>
      <c r="C26" s="25"/>
      <c r="D26" s="25"/>
      <c r="E26" s="26"/>
      <c r="F26" s="24" t="s">
        <v>135</v>
      </c>
      <c r="G26" s="25"/>
      <c r="H26" s="25"/>
      <c r="I26" s="25"/>
      <c r="J26" s="26"/>
      <c r="K26" s="43" t="s">
        <v>148</v>
      </c>
      <c r="L26" s="44"/>
      <c r="M26" s="29"/>
      <c r="N26" s="30"/>
      <c r="O26" s="12"/>
      <c r="P26" s="13"/>
      <c r="Q26" s="24"/>
      <c r="R26" s="23"/>
      <c r="S26" s="24" t="s">
        <v>137</v>
      </c>
      <c r="T26" s="15"/>
      <c r="U26" s="20"/>
      <c r="V26" s="20"/>
      <c r="W26" s="20"/>
      <c r="X26" s="21"/>
      <c r="Y26" s="15"/>
      <c r="Z26" s="15"/>
      <c r="AA26" s="31"/>
      <c r="AB26" s="32"/>
      <c r="AE26" s="2" t="str">
        <f t="shared" si="0"/>
        <v>ev_ebitda</v>
      </c>
      <c r="AJ26" s="2" t="str">
        <f t="shared" si="5"/>
        <v>REAL</v>
      </c>
      <c r="AN26" s="2" t="str">
        <f t="shared" si="2"/>
        <v>,</v>
      </c>
    </row>
    <row r="27" spans="1:40" ht="15" customHeight="1">
      <c r="A27" s="11">
        <v>20</v>
      </c>
      <c r="B27" s="24" t="s">
        <v>138</v>
      </c>
      <c r="C27" s="25"/>
      <c r="D27" s="25"/>
      <c r="E27" s="26"/>
      <c r="F27" s="24" t="s">
        <v>9</v>
      </c>
      <c r="G27" s="25"/>
      <c r="H27" s="25"/>
      <c r="I27" s="25"/>
      <c r="J27" s="26"/>
      <c r="K27" s="43" t="s">
        <v>148</v>
      </c>
      <c r="L27" s="44"/>
      <c r="M27" s="29"/>
      <c r="N27" s="30"/>
      <c r="O27" s="12"/>
      <c r="P27" s="13"/>
      <c r="Q27" s="24"/>
      <c r="R27" s="23"/>
      <c r="S27" s="24"/>
      <c r="T27" s="15"/>
      <c r="U27" s="20"/>
      <c r="V27" s="20"/>
      <c r="W27" s="20"/>
      <c r="X27" s="21"/>
      <c r="Y27" s="15"/>
      <c r="Z27" s="15"/>
      <c r="AA27" s="31"/>
      <c r="AB27" s="32"/>
      <c r="AE27" s="2" t="str">
        <f t="shared" si="0"/>
        <v>eps</v>
      </c>
      <c r="AJ27" s="2" t="str">
        <f t="shared" si="5"/>
        <v>REAL</v>
      </c>
      <c r="AN27" s="2" t="str">
        <f t="shared" si="2"/>
        <v>,</v>
      </c>
    </row>
    <row r="28" spans="1:40" ht="15" customHeight="1">
      <c r="A28" s="11">
        <v>21</v>
      </c>
      <c r="B28" s="24" t="s">
        <v>131</v>
      </c>
      <c r="C28" s="25"/>
      <c r="D28" s="25"/>
      <c r="E28" s="26"/>
      <c r="F28" s="24" t="s">
        <v>10</v>
      </c>
      <c r="G28" s="25"/>
      <c r="H28" s="25"/>
      <c r="I28" s="25"/>
      <c r="J28" s="26"/>
      <c r="K28" s="43" t="s">
        <v>148</v>
      </c>
      <c r="L28" s="44"/>
      <c r="M28" s="29"/>
      <c r="N28" s="30"/>
      <c r="O28" s="12"/>
      <c r="P28" s="13"/>
      <c r="Q28" s="24"/>
      <c r="R28" s="23"/>
      <c r="S28" s="24" t="s">
        <v>112</v>
      </c>
      <c r="T28" s="15"/>
      <c r="U28" s="20"/>
      <c r="V28" s="20"/>
      <c r="W28" s="20"/>
      <c r="X28" s="21"/>
      <c r="Y28" s="15"/>
      <c r="Z28" s="15"/>
      <c r="AA28" s="31"/>
      <c r="AB28" s="32"/>
      <c r="AE28" s="2" t="str">
        <f t="shared" si="0"/>
        <v>roa</v>
      </c>
      <c r="AJ28" s="2" t="str">
        <f t="shared" si="5"/>
        <v>REAL</v>
      </c>
      <c r="AN28" s="2" t="str">
        <f t="shared" si="2"/>
        <v>,</v>
      </c>
    </row>
    <row r="29" spans="1:40" ht="15" customHeight="1">
      <c r="A29" s="11">
        <v>22</v>
      </c>
      <c r="B29" s="24" t="s">
        <v>132</v>
      </c>
      <c r="C29" s="25"/>
      <c r="D29" s="25"/>
      <c r="E29" s="26"/>
      <c r="F29" s="24" t="s">
        <v>11</v>
      </c>
      <c r="G29" s="25"/>
      <c r="H29" s="25"/>
      <c r="I29" s="25"/>
      <c r="J29" s="26"/>
      <c r="K29" s="43" t="s">
        <v>148</v>
      </c>
      <c r="L29" s="44"/>
      <c r="M29" s="29"/>
      <c r="N29" s="30"/>
      <c r="O29" s="12"/>
      <c r="P29" s="13"/>
      <c r="Q29" s="24"/>
      <c r="R29" s="23"/>
      <c r="S29" s="24" t="s">
        <v>112</v>
      </c>
      <c r="T29" s="15"/>
      <c r="U29" s="20"/>
      <c r="V29" s="20"/>
      <c r="W29" s="20"/>
      <c r="X29" s="21"/>
      <c r="Y29" s="15"/>
      <c r="Z29" s="15"/>
      <c r="AA29" s="31"/>
      <c r="AB29" s="32"/>
      <c r="AE29" s="2" t="str">
        <f t="shared" si="0"/>
        <v>roe</v>
      </c>
      <c r="AJ29" s="2" t="str">
        <f t="shared" si="5"/>
        <v>REAL</v>
      </c>
      <c r="AN29" s="2" t="str">
        <f t="shared" si="2"/>
        <v>,</v>
      </c>
    </row>
    <row r="30" spans="1:40" ht="15" customHeight="1">
      <c r="A30" s="11">
        <v>23</v>
      </c>
      <c r="B30" s="51" t="s">
        <v>133</v>
      </c>
      <c r="C30" s="25"/>
      <c r="D30" s="25"/>
      <c r="E30" s="26"/>
      <c r="F30" s="24" t="s">
        <v>12</v>
      </c>
      <c r="G30" s="25"/>
      <c r="H30" s="25"/>
      <c r="I30" s="25"/>
      <c r="J30" s="26"/>
      <c r="K30" s="43" t="s">
        <v>148</v>
      </c>
      <c r="L30" s="44"/>
      <c r="M30" s="29"/>
      <c r="N30" s="30"/>
      <c r="O30" s="12"/>
      <c r="P30" s="13"/>
      <c r="Q30" s="24"/>
      <c r="R30" s="23"/>
      <c r="S30" s="24" t="s">
        <v>112</v>
      </c>
      <c r="T30" s="15"/>
      <c r="U30" s="20"/>
      <c r="V30" s="20"/>
      <c r="W30" s="20"/>
      <c r="X30" s="21"/>
      <c r="Y30" s="15"/>
      <c r="Z30" s="15"/>
      <c r="AA30" s="31"/>
      <c r="AB30" s="32"/>
      <c r="AE30" s="2" t="str">
        <f>F30</f>
        <v>debt_equity_ratio</v>
      </c>
      <c r="AJ30" s="2" t="str">
        <f>K30&amp;IF(M30&lt;&gt;"","("&amp;M30&amp;")","")</f>
        <v>REAL</v>
      </c>
      <c r="AN30" s="2" t="str">
        <f t="shared" si="2"/>
        <v>,</v>
      </c>
    </row>
    <row r="31" spans="1:40" ht="15" customHeight="1">
      <c r="A31" s="11">
        <v>24</v>
      </c>
      <c r="B31" s="24" t="s">
        <v>64</v>
      </c>
      <c r="C31" s="25"/>
      <c r="D31" s="25"/>
      <c r="E31" s="26"/>
      <c r="F31" s="24" t="s">
        <v>13</v>
      </c>
      <c r="G31" s="25"/>
      <c r="H31" s="25"/>
      <c r="I31" s="25"/>
      <c r="J31" s="26"/>
      <c r="K31" s="43" t="s">
        <v>148</v>
      </c>
      <c r="L31" s="44"/>
      <c r="M31" s="29"/>
      <c r="N31" s="30"/>
      <c r="O31" s="12"/>
      <c r="P31" s="13"/>
      <c r="Q31" s="24"/>
      <c r="R31" s="23"/>
      <c r="S31" s="24" t="s">
        <v>112</v>
      </c>
      <c r="T31" s="15"/>
      <c r="U31" s="20"/>
      <c r="V31" s="20"/>
      <c r="W31" s="20"/>
      <c r="X31" s="21"/>
      <c r="Y31" s="15"/>
      <c r="Z31" s="15"/>
      <c r="AA31" s="31"/>
      <c r="AB31" s="32"/>
      <c r="AE31" s="2" t="str">
        <f>F31</f>
        <v>own_capital_ratio</v>
      </c>
      <c r="AJ31" s="2" t="str">
        <f>K31&amp;IF(M31&lt;&gt;"","("&amp;M31&amp;")","")</f>
        <v>REAL</v>
      </c>
      <c r="AN31" s="2" t="str">
        <f t="shared" si="2"/>
        <v>,</v>
      </c>
    </row>
    <row r="32" spans="1:40" ht="15" customHeight="1">
      <c r="A32" s="11">
        <v>25</v>
      </c>
      <c r="B32" s="24" t="s">
        <v>65</v>
      </c>
      <c r="C32" s="25"/>
      <c r="D32" s="25"/>
      <c r="E32" s="26"/>
      <c r="F32" s="24" t="s">
        <v>124</v>
      </c>
      <c r="G32" s="25"/>
      <c r="H32" s="25"/>
      <c r="I32" s="25"/>
      <c r="J32" s="26"/>
      <c r="K32" s="43" t="s">
        <v>148</v>
      </c>
      <c r="L32" s="44"/>
      <c r="M32" s="29"/>
      <c r="N32" s="30"/>
      <c r="O32" s="12"/>
      <c r="P32" s="13"/>
      <c r="Q32" s="24"/>
      <c r="R32" s="23"/>
      <c r="S32" s="24" t="s">
        <v>173</v>
      </c>
      <c r="T32" s="15"/>
      <c r="U32" s="20"/>
      <c r="V32" s="48" t="s">
        <v>126</v>
      </c>
      <c r="W32" s="49"/>
      <c r="X32" s="48"/>
      <c r="Y32" s="49"/>
      <c r="Z32" s="15"/>
      <c r="AA32" s="31"/>
      <c r="AB32" s="32"/>
      <c r="AE32" s="2" t="str">
        <f t="shared" si="0"/>
        <v>market_cap</v>
      </c>
      <c r="AJ32" s="2" t="str">
        <f t="shared" si="5"/>
        <v>REAL</v>
      </c>
      <c r="AN32" s="2" t="str">
        <f t="shared" si="2"/>
        <v>,</v>
      </c>
    </row>
    <row r="33" spans="1:40" ht="15" customHeight="1">
      <c r="A33" s="11">
        <v>26</v>
      </c>
      <c r="B33" s="24" t="s">
        <v>66</v>
      </c>
      <c r="C33" s="25"/>
      <c r="D33" s="25"/>
      <c r="E33" s="26"/>
      <c r="F33" s="24" t="s">
        <v>14</v>
      </c>
      <c r="G33" s="25"/>
      <c r="H33" s="25"/>
      <c r="I33" s="25"/>
      <c r="J33" s="26"/>
      <c r="K33" s="43" t="s">
        <v>148</v>
      </c>
      <c r="L33" s="44"/>
      <c r="M33" s="29"/>
      <c r="N33" s="30"/>
      <c r="O33" s="12"/>
      <c r="P33" s="13"/>
      <c r="Q33" s="24"/>
      <c r="R33" s="23"/>
      <c r="S33" s="43" t="s">
        <v>174</v>
      </c>
      <c r="T33" s="45"/>
      <c r="U33" s="46"/>
      <c r="V33" s="46"/>
      <c r="W33" s="46"/>
      <c r="X33" s="21"/>
      <c r="Y33" s="15"/>
      <c r="Z33" s="15"/>
      <c r="AA33" s="31"/>
      <c r="AB33" s="32"/>
      <c r="AE33" s="2" t="str">
        <f t="shared" si="0"/>
        <v>enterprise_value</v>
      </c>
      <c r="AJ33" s="2" t="str">
        <f t="shared" si="5"/>
        <v>REAL</v>
      </c>
      <c r="AN33" s="2" t="str">
        <f t="shared" si="2"/>
        <v>,</v>
      </c>
    </row>
    <row r="34" spans="1:40" ht="15" customHeight="1">
      <c r="A34" s="11">
        <v>27</v>
      </c>
      <c r="B34" s="24" t="s">
        <v>67</v>
      </c>
      <c r="C34" s="25"/>
      <c r="D34" s="25"/>
      <c r="E34" s="26"/>
      <c r="F34" s="24" t="s">
        <v>125</v>
      </c>
      <c r="G34" s="25"/>
      <c r="H34" s="25"/>
      <c r="I34" s="25"/>
      <c r="J34" s="26"/>
      <c r="K34" s="43" t="s">
        <v>148</v>
      </c>
      <c r="L34" s="44"/>
      <c r="M34" s="29"/>
      <c r="N34" s="30"/>
      <c r="O34" s="12"/>
      <c r="P34" s="13"/>
      <c r="Q34" s="24"/>
      <c r="R34" s="23"/>
      <c r="S34" s="24" t="s">
        <v>123</v>
      </c>
      <c r="T34" s="15"/>
      <c r="U34" s="20"/>
      <c r="V34" s="20"/>
      <c r="W34" s="20"/>
      <c r="X34" s="21"/>
      <c r="Y34" s="15"/>
      <c r="Z34" s="15"/>
      <c r="AA34" s="31"/>
      <c r="AB34" s="32"/>
      <c r="AE34" s="2" t="str">
        <f t="shared" si="0"/>
        <v>credit_multiplier</v>
      </c>
      <c r="AJ34" s="2" t="str">
        <f t="shared" si="5"/>
        <v>REAL</v>
      </c>
      <c r="AN34" s="2" t="str">
        <f t="shared" si="2"/>
        <v>,</v>
      </c>
    </row>
    <row r="35" spans="1:40" ht="15" customHeight="1">
      <c r="A35" s="11">
        <v>36</v>
      </c>
      <c r="B35" s="50" t="s">
        <v>120</v>
      </c>
      <c r="C35" s="25"/>
      <c r="D35" s="25"/>
      <c r="E35" s="26"/>
      <c r="F35" s="24" t="s">
        <v>1</v>
      </c>
      <c r="G35" s="25"/>
      <c r="H35" s="25"/>
      <c r="I35" s="25"/>
      <c r="J35" s="26"/>
      <c r="K35" s="43" t="s">
        <v>148</v>
      </c>
      <c r="L35" s="44"/>
      <c r="M35" s="29"/>
      <c r="N35" s="30"/>
      <c r="O35" s="12"/>
      <c r="P35" s="13"/>
      <c r="Q35" s="24"/>
      <c r="R35" s="23"/>
      <c r="S35" s="24"/>
      <c r="T35" s="15"/>
      <c r="U35" s="20"/>
      <c r="V35" s="20"/>
      <c r="W35" s="20"/>
      <c r="X35" s="21"/>
      <c r="Y35" s="15"/>
      <c r="Z35" s="15"/>
      <c r="AA35" s="31"/>
      <c r="AB35" s="32"/>
      <c r="AE35" s="2" t="str">
        <f>F35</f>
        <v>grade_rating</v>
      </c>
      <c r="AJ35" s="2" t="str">
        <f t="shared" si="5"/>
        <v>REAL</v>
      </c>
      <c r="AN35" s="2" t="str">
        <f t="shared" si="2"/>
        <v>,</v>
      </c>
    </row>
    <row r="36" spans="1:40" ht="15" customHeight="1">
      <c r="A36" s="11">
        <v>37</v>
      </c>
      <c r="B36" s="24" t="s">
        <v>62</v>
      </c>
      <c r="C36" s="25"/>
      <c r="D36" s="25"/>
      <c r="E36" s="26"/>
      <c r="F36" s="24" t="s">
        <v>7</v>
      </c>
      <c r="G36" s="25"/>
      <c r="H36" s="25"/>
      <c r="I36" s="25"/>
      <c r="J36" s="26"/>
      <c r="K36" s="24" t="s">
        <v>146</v>
      </c>
      <c r="L36" s="23"/>
      <c r="M36" s="29"/>
      <c r="N36" s="30"/>
      <c r="O36" s="12"/>
      <c r="P36" s="13"/>
      <c r="Q36" s="24"/>
      <c r="R36" s="23"/>
      <c r="S36" s="24"/>
      <c r="T36" s="15"/>
      <c r="U36" s="20"/>
      <c r="V36" s="20"/>
      <c r="W36" s="20"/>
      <c r="X36" s="21"/>
      <c r="Y36" s="15"/>
      <c r="Z36" s="15"/>
      <c r="AA36" s="31"/>
      <c r="AB36" s="32"/>
      <c r="AE36" s="2" t="str">
        <f t="shared" ref="AE36:AE41" si="6">F36</f>
        <v>index_adoption</v>
      </c>
      <c r="AJ36" s="2" t="str">
        <f t="shared" si="5"/>
        <v>TEXT</v>
      </c>
      <c r="AN36" s="2" t="str">
        <f t="shared" si="2"/>
        <v>,</v>
      </c>
    </row>
    <row r="37" spans="1:40" ht="15" customHeight="1">
      <c r="A37" s="11">
        <v>38</v>
      </c>
      <c r="B37" s="24" t="s">
        <v>84</v>
      </c>
      <c r="C37" s="25"/>
      <c r="D37" s="25"/>
      <c r="E37" s="26"/>
      <c r="F37" s="24" t="s">
        <v>31</v>
      </c>
      <c r="G37" s="25"/>
      <c r="H37" s="25"/>
      <c r="I37" s="25"/>
      <c r="J37" s="26"/>
      <c r="K37" s="24" t="s">
        <v>146</v>
      </c>
      <c r="L37" s="23"/>
      <c r="M37" s="29"/>
      <c r="N37" s="30"/>
      <c r="O37" s="12"/>
      <c r="P37" s="13"/>
      <c r="Q37" s="24"/>
      <c r="R37" s="23"/>
      <c r="S37" s="24"/>
      <c r="T37" s="15"/>
      <c r="U37" s="20"/>
      <c r="V37" s="20"/>
      <c r="W37" s="20"/>
      <c r="X37" s="21"/>
      <c r="Y37" s="15"/>
      <c r="Z37" s="15"/>
      <c r="AA37" s="31"/>
      <c r="AB37" s="32"/>
      <c r="AE37" s="2" t="str">
        <f t="shared" si="6"/>
        <v>per_unit</v>
      </c>
      <c r="AJ37" s="2" t="str">
        <f t="shared" si="5"/>
        <v>TEXT</v>
      </c>
      <c r="AN37" s="2" t="str">
        <f t="shared" si="2"/>
        <v>,</v>
      </c>
    </row>
    <row r="38" spans="1:40" ht="15" customHeight="1">
      <c r="A38" s="11">
        <v>39</v>
      </c>
      <c r="B38" s="24" t="s">
        <v>127</v>
      </c>
      <c r="C38" s="25"/>
      <c r="D38" s="25"/>
      <c r="E38" s="26"/>
      <c r="F38" s="24" t="s">
        <v>128</v>
      </c>
      <c r="G38" s="25"/>
      <c r="H38" s="25"/>
      <c r="I38" s="25"/>
      <c r="J38" s="26"/>
      <c r="K38" s="24" t="s">
        <v>119</v>
      </c>
      <c r="L38" s="23"/>
      <c r="M38" s="29"/>
      <c r="N38" s="30"/>
      <c r="O38" s="12"/>
      <c r="P38" s="13"/>
      <c r="Q38" s="24"/>
      <c r="R38" s="23"/>
      <c r="S38" s="24"/>
      <c r="T38" s="15"/>
      <c r="U38" s="20"/>
      <c r="V38" s="20"/>
      <c r="W38" s="20"/>
      <c r="X38" s="21"/>
      <c r="Y38" s="15"/>
      <c r="Z38" s="15"/>
      <c r="AA38" s="31"/>
      <c r="AB38" s="32"/>
      <c r="AE38" s="2" t="str">
        <f t="shared" si="6"/>
        <v>issued_shares</v>
      </c>
      <c r="AJ38" s="2" t="str">
        <f t="shared" si="5"/>
        <v>INTEGER</v>
      </c>
      <c r="AN38" s="2" t="str">
        <f t="shared" si="2"/>
        <v>,</v>
      </c>
    </row>
    <row r="39" spans="1:40" ht="15" customHeight="1">
      <c r="A39" s="11">
        <v>40</v>
      </c>
      <c r="B39" s="24" t="s">
        <v>78</v>
      </c>
      <c r="C39" s="25"/>
      <c r="D39" s="25"/>
      <c r="E39" s="26"/>
      <c r="F39" s="24" t="s">
        <v>25</v>
      </c>
      <c r="G39" s="25"/>
      <c r="H39" s="25"/>
      <c r="I39" s="25"/>
      <c r="J39" s="26"/>
      <c r="K39" s="24" t="s">
        <v>146</v>
      </c>
      <c r="L39" s="23"/>
      <c r="M39" s="29"/>
      <c r="N39" s="30"/>
      <c r="O39" s="12"/>
      <c r="P39" s="13"/>
      <c r="Q39" s="24"/>
      <c r="R39" s="23"/>
      <c r="S39" s="24"/>
      <c r="T39" s="15"/>
      <c r="U39" s="20"/>
      <c r="V39" s="20"/>
      <c r="W39" s="20"/>
      <c r="X39" s="21"/>
      <c r="Y39" s="15"/>
      <c r="Z39" s="15"/>
      <c r="AA39" s="31"/>
      <c r="AB39" s="32"/>
      <c r="AE39" s="2" t="str">
        <f t="shared" si="6"/>
        <v>business_scope</v>
      </c>
      <c r="AJ39" s="2" t="str">
        <f t="shared" si="5"/>
        <v>TEXT</v>
      </c>
      <c r="AN39" s="2" t="str">
        <f t="shared" si="2"/>
        <v>,</v>
      </c>
    </row>
    <row r="40" spans="1:40" ht="15" customHeight="1">
      <c r="A40" s="11">
        <v>41</v>
      </c>
      <c r="B40" s="24" t="s">
        <v>79</v>
      </c>
      <c r="C40" s="25"/>
      <c r="D40" s="25"/>
      <c r="E40" s="26"/>
      <c r="F40" s="24" t="s">
        <v>26</v>
      </c>
      <c r="G40" s="25"/>
      <c r="H40" s="25"/>
      <c r="I40" s="25"/>
      <c r="J40" s="26"/>
      <c r="K40" s="24" t="s">
        <v>146</v>
      </c>
      <c r="L40" s="23"/>
      <c r="M40" s="29"/>
      <c r="N40" s="30"/>
      <c r="O40" s="12"/>
      <c r="P40" s="13"/>
      <c r="Q40" s="24"/>
      <c r="R40" s="23"/>
      <c r="S40" s="24"/>
      <c r="T40" s="15"/>
      <c r="U40" s="20"/>
      <c r="V40" s="20"/>
      <c r="W40" s="20"/>
      <c r="X40" s="21"/>
      <c r="Y40" s="15"/>
      <c r="Z40" s="15"/>
      <c r="AA40" s="31"/>
      <c r="AB40" s="32"/>
      <c r="AE40" s="2" t="str">
        <f t="shared" si="6"/>
        <v>product_range</v>
      </c>
      <c r="AJ40" s="2" t="str">
        <f t="shared" si="5"/>
        <v>TEXT</v>
      </c>
      <c r="AN40" s="2" t="str">
        <f t="shared" si="2"/>
        <v>,</v>
      </c>
    </row>
    <row r="41" spans="1:40" ht="15" customHeight="1">
      <c r="A41" s="11">
        <v>42</v>
      </c>
      <c r="B41" s="24" t="s">
        <v>80</v>
      </c>
      <c r="C41" s="25"/>
      <c r="D41" s="25"/>
      <c r="E41" s="26"/>
      <c r="F41" s="24" t="s">
        <v>27</v>
      </c>
      <c r="G41" s="25"/>
      <c r="H41" s="25"/>
      <c r="I41" s="25"/>
      <c r="J41" s="26"/>
      <c r="K41" s="24" t="s">
        <v>146</v>
      </c>
      <c r="L41" s="23"/>
      <c r="M41" s="29"/>
      <c r="N41" s="30"/>
      <c r="O41" s="12"/>
      <c r="P41" s="13"/>
      <c r="Q41" s="24"/>
      <c r="R41" s="23"/>
      <c r="S41" s="24"/>
      <c r="T41" s="15"/>
      <c r="U41" s="20"/>
      <c r="V41" s="20"/>
      <c r="W41" s="20"/>
      <c r="X41" s="21"/>
      <c r="Y41" s="15"/>
      <c r="Z41" s="15"/>
      <c r="AA41" s="31"/>
      <c r="AB41" s="32"/>
      <c r="AE41" s="2" t="str">
        <f t="shared" si="6"/>
        <v>representative</v>
      </c>
      <c r="AJ41" s="2" t="str">
        <f t="shared" si="5"/>
        <v>TEXT</v>
      </c>
      <c r="AN41" s="2" t="str">
        <f t="shared" si="2"/>
        <v>,</v>
      </c>
    </row>
    <row r="42" spans="1:40" ht="15" customHeight="1">
      <c r="A42" s="11">
        <v>43</v>
      </c>
      <c r="B42" s="24" t="s">
        <v>81</v>
      </c>
      <c r="C42" s="25"/>
      <c r="D42" s="25"/>
      <c r="E42" s="26"/>
      <c r="F42" s="24" t="s">
        <v>28</v>
      </c>
      <c r="G42" s="25"/>
      <c r="H42" s="25"/>
      <c r="I42" s="25"/>
      <c r="J42" s="26"/>
      <c r="K42" s="24" t="s">
        <v>146</v>
      </c>
      <c r="L42" s="23"/>
      <c r="M42" s="29"/>
      <c r="N42" s="30"/>
      <c r="O42" s="12"/>
      <c r="P42" s="13"/>
      <c r="Q42" s="24"/>
      <c r="R42" s="23"/>
      <c r="S42" s="24"/>
      <c r="T42" s="15"/>
      <c r="U42" s="20"/>
      <c r="V42" s="20"/>
      <c r="W42" s="20"/>
      <c r="X42" s="21"/>
      <c r="Y42" s="15"/>
      <c r="Z42" s="15"/>
      <c r="AA42" s="31"/>
      <c r="AB42" s="32"/>
      <c r="AE42" s="2" t="str">
        <f t="shared" si="0"/>
        <v>capital_stock</v>
      </c>
      <c r="AJ42" s="2" t="str">
        <f t="shared" si="5"/>
        <v>TEXT</v>
      </c>
      <c r="AN42" s="2" t="str">
        <f t="shared" si="2"/>
        <v>,</v>
      </c>
    </row>
    <row r="43" spans="1:40" ht="15" customHeight="1">
      <c r="A43" s="11">
        <v>44</v>
      </c>
      <c r="B43" s="24" t="s">
        <v>82</v>
      </c>
      <c r="C43" s="25"/>
      <c r="D43" s="25"/>
      <c r="E43" s="26"/>
      <c r="F43" s="24" t="s">
        <v>29</v>
      </c>
      <c r="G43" s="25"/>
      <c r="H43" s="25"/>
      <c r="I43" s="25"/>
      <c r="J43" s="26"/>
      <c r="K43" s="24" t="s">
        <v>146</v>
      </c>
      <c r="L43" s="23"/>
      <c r="M43" s="29"/>
      <c r="N43" s="30"/>
      <c r="O43" s="12"/>
      <c r="P43" s="13"/>
      <c r="Q43" s="24"/>
      <c r="R43" s="23"/>
      <c r="S43" s="24"/>
      <c r="T43" s="15"/>
      <c r="U43" s="20"/>
      <c r="V43" s="20"/>
      <c r="W43" s="20"/>
      <c r="X43" s="21"/>
      <c r="Y43" s="15"/>
      <c r="Z43" s="15"/>
      <c r="AA43" s="31"/>
      <c r="AB43" s="32"/>
      <c r="AE43" s="2" t="str">
        <f t="shared" si="0"/>
        <v>address</v>
      </c>
      <c r="AJ43" s="2" t="str">
        <f t="shared" si="5"/>
        <v>TEXT</v>
      </c>
      <c r="AN43" s="2" t="str">
        <f t="shared" si="2"/>
        <v>,</v>
      </c>
    </row>
    <row r="44" spans="1:40" ht="15" customHeight="1">
      <c r="A44" s="11">
        <v>45</v>
      </c>
      <c r="B44" s="24" t="s">
        <v>83</v>
      </c>
      <c r="C44" s="25"/>
      <c r="D44" s="25"/>
      <c r="E44" s="26"/>
      <c r="F44" s="24" t="s">
        <v>30</v>
      </c>
      <c r="G44" s="25"/>
      <c r="H44" s="25"/>
      <c r="I44" s="25"/>
      <c r="J44" s="26"/>
      <c r="K44" s="24" t="s">
        <v>146</v>
      </c>
      <c r="L44" s="23"/>
      <c r="M44" s="29"/>
      <c r="N44" s="30"/>
      <c r="O44" s="12"/>
      <c r="P44" s="13"/>
      <c r="Q44" s="24"/>
      <c r="R44" s="23"/>
      <c r="S44" s="24"/>
      <c r="T44" s="15"/>
      <c r="U44" s="20"/>
      <c r="V44" s="20"/>
      <c r="W44" s="20"/>
      <c r="X44" s="21"/>
      <c r="Y44" s="15"/>
      <c r="Z44" s="15"/>
      <c r="AA44" s="31"/>
      <c r="AB44" s="32"/>
      <c r="AE44" s="2" t="str">
        <f t="shared" si="0"/>
        <v>tel</v>
      </c>
      <c r="AJ44" s="2" t="str">
        <f t="shared" si="5"/>
        <v>TEXT</v>
      </c>
      <c r="AN44" s="2" t="str">
        <f t="shared" si="2"/>
        <v>,</v>
      </c>
    </row>
    <row r="45" spans="1:40" ht="15" customHeight="1">
      <c r="A45" s="11">
        <v>46</v>
      </c>
      <c r="B45" s="24" t="s">
        <v>85</v>
      </c>
      <c r="C45" s="25"/>
      <c r="D45" s="25"/>
      <c r="E45" s="26"/>
      <c r="F45" s="24" t="s">
        <v>32</v>
      </c>
      <c r="G45" s="25"/>
      <c r="H45" s="25"/>
      <c r="I45" s="25"/>
      <c r="J45" s="26"/>
      <c r="K45" s="24" t="s">
        <v>146</v>
      </c>
      <c r="L45" s="23"/>
      <c r="M45" s="29"/>
      <c r="N45" s="30"/>
      <c r="O45" s="12"/>
      <c r="P45" s="13"/>
      <c r="Q45" s="24"/>
      <c r="R45" s="23"/>
      <c r="S45" s="24"/>
      <c r="T45" s="15"/>
      <c r="U45" s="20"/>
      <c r="V45" s="20"/>
      <c r="W45" s="20"/>
      <c r="X45" s="21"/>
      <c r="Y45" s="15"/>
      <c r="Z45" s="15"/>
      <c r="AA45" s="31"/>
      <c r="AB45" s="32"/>
      <c r="AE45" s="2" t="str">
        <f t="shared" si="0"/>
        <v>url</v>
      </c>
      <c r="AJ45" s="2" t="str">
        <f t="shared" si="5"/>
        <v>TEXT</v>
      </c>
      <c r="AN45" s="2" t="str">
        <f t="shared" si="2"/>
        <v>,</v>
      </c>
    </row>
    <row r="46" spans="1:40" ht="15" customHeight="1">
      <c r="A46" s="11">
        <v>29</v>
      </c>
      <c r="B46" s="24" t="s">
        <v>71</v>
      </c>
      <c r="C46" s="25"/>
      <c r="D46" s="25"/>
      <c r="E46" s="26"/>
      <c r="F46" s="24" t="s">
        <v>18</v>
      </c>
      <c r="G46" s="25"/>
      <c r="H46" s="25"/>
      <c r="I46" s="25"/>
      <c r="J46" s="26"/>
      <c r="K46" s="24" t="s">
        <v>146</v>
      </c>
      <c r="L46" s="23"/>
      <c r="M46" s="29">
        <v>10</v>
      </c>
      <c r="N46" s="30"/>
      <c r="O46" s="12"/>
      <c r="P46" s="13"/>
      <c r="Q46" s="24"/>
      <c r="R46" s="23"/>
      <c r="S46" s="24"/>
      <c r="T46" s="15"/>
      <c r="U46" s="20"/>
      <c r="V46" s="20"/>
      <c r="W46" s="20"/>
      <c r="X46" s="21"/>
      <c r="Y46" s="15"/>
      <c r="Z46" s="15"/>
      <c r="AA46" s="31"/>
      <c r="AB46" s="32"/>
      <c r="AE46" s="2" t="str">
        <f t="shared" ref="AE46:AE53" si="7">F46</f>
        <v>amount_of_sales</v>
      </c>
      <c r="AJ46" s="2" t="str">
        <f t="shared" ref="AJ46:AJ53" si="8">K46&amp;IF(M46&lt;&gt;"","("&amp;M46&amp;")","")</f>
        <v>TEXT(10)</v>
      </c>
      <c r="AN46" s="2" t="str">
        <f t="shared" si="2"/>
        <v>,</v>
      </c>
    </row>
    <row r="47" spans="1:40" ht="15" customHeight="1">
      <c r="A47" s="11">
        <v>30</v>
      </c>
      <c r="B47" s="24" t="s">
        <v>72</v>
      </c>
      <c r="C47" s="25"/>
      <c r="D47" s="25"/>
      <c r="E47" s="26"/>
      <c r="F47" s="24" t="s">
        <v>19</v>
      </c>
      <c r="G47" s="25"/>
      <c r="H47" s="25"/>
      <c r="I47" s="25"/>
      <c r="J47" s="26"/>
      <c r="K47" s="24" t="s">
        <v>146</v>
      </c>
      <c r="L47" s="23"/>
      <c r="M47" s="29">
        <v>10</v>
      </c>
      <c r="N47" s="30"/>
      <c r="O47" s="12"/>
      <c r="P47" s="13"/>
      <c r="Q47" s="24"/>
      <c r="R47" s="23"/>
      <c r="S47" s="24"/>
      <c r="T47" s="15"/>
      <c r="U47" s="20"/>
      <c r="V47" s="20"/>
      <c r="W47" s="20"/>
      <c r="X47" s="21"/>
      <c r="Y47" s="15"/>
      <c r="Z47" s="15"/>
      <c r="AA47" s="31"/>
      <c r="AB47" s="32"/>
      <c r="AE47" s="2" t="str">
        <f t="shared" si="7"/>
        <v>net_income</v>
      </c>
      <c r="AJ47" s="2" t="str">
        <f t="shared" si="8"/>
        <v>TEXT(10)</v>
      </c>
      <c r="AN47" s="2" t="str">
        <f t="shared" si="2"/>
        <v>,</v>
      </c>
    </row>
    <row r="48" spans="1:40" ht="15" customHeight="1">
      <c r="A48" s="11">
        <v>31</v>
      </c>
      <c r="B48" s="24" t="s">
        <v>73</v>
      </c>
      <c r="C48" s="25"/>
      <c r="D48" s="25"/>
      <c r="E48" s="26"/>
      <c r="F48" s="24" t="s">
        <v>20</v>
      </c>
      <c r="G48" s="25"/>
      <c r="H48" s="25"/>
      <c r="I48" s="25"/>
      <c r="J48" s="26"/>
      <c r="K48" s="24" t="s">
        <v>146</v>
      </c>
      <c r="L48" s="23"/>
      <c r="M48" s="29">
        <v>10</v>
      </c>
      <c r="N48" s="30"/>
      <c r="O48" s="12"/>
      <c r="P48" s="13"/>
      <c r="Q48" s="24"/>
      <c r="R48" s="23"/>
      <c r="S48" s="24"/>
      <c r="T48" s="15"/>
      <c r="U48" s="20"/>
      <c r="V48" s="20"/>
      <c r="W48" s="20"/>
      <c r="X48" s="21"/>
      <c r="Y48" s="15"/>
      <c r="Z48" s="15"/>
      <c r="AA48" s="31"/>
      <c r="AB48" s="32"/>
      <c r="AE48" s="2" t="str">
        <f t="shared" si="7"/>
        <v>sales_cf</v>
      </c>
      <c r="AJ48" s="2" t="str">
        <f t="shared" si="8"/>
        <v>TEXT(10)</v>
      </c>
      <c r="AN48" s="2" t="str">
        <f t="shared" si="2"/>
        <v>,</v>
      </c>
    </row>
    <row r="49" spans="1:40" ht="15" customHeight="1">
      <c r="A49" s="11">
        <v>32</v>
      </c>
      <c r="B49" s="24" t="s">
        <v>74</v>
      </c>
      <c r="C49" s="25"/>
      <c r="D49" s="25"/>
      <c r="E49" s="26"/>
      <c r="F49" s="24" t="s">
        <v>21</v>
      </c>
      <c r="G49" s="25"/>
      <c r="H49" s="25"/>
      <c r="I49" s="25"/>
      <c r="J49" s="26"/>
      <c r="K49" s="24" t="s">
        <v>146</v>
      </c>
      <c r="L49" s="23"/>
      <c r="M49" s="29">
        <v>10</v>
      </c>
      <c r="N49" s="30"/>
      <c r="O49" s="12"/>
      <c r="P49" s="13"/>
      <c r="Q49" s="24"/>
      <c r="R49" s="23"/>
      <c r="S49" s="24"/>
      <c r="T49" s="15"/>
      <c r="U49" s="20"/>
      <c r="V49" s="20"/>
      <c r="W49" s="20"/>
      <c r="X49" s="21"/>
      <c r="Y49" s="15"/>
      <c r="Z49" s="15"/>
      <c r="AA49" s="31"/>
      <c r="AB49" s="32"/>
      <c r="AE49" s="2" t="str">
        <f t="shared" si="7"/>
        <v>total_assets</v>
      </c>
      <c r="AJ49" s="2" t="str">
        <f t="shared" si="8"/>
        <v>TEXT(10)</v>
      </c>
      <c r="AN49" s="2" t="str">
        <f t="shared" si="2"/>
        <v>,</v>
      </c>
    </row>
    <row r="50" spans="1:40" ht="15" customHeight="1">
      <c r="A50" s="11">
        <v>33</v>
      </c>
      <c r="B50" s="24" t="s">
        <v>75</v>
      </c>
      <c r="C50" s="25"/>
      <c r="D50" s="25"/>
      <c r="E50" s="26"/>
      <c r="F50" s="24" t="s">
        <v>22</v>
      </c>
      <c r="G50" s="25"/>
      <c r="H50" s="25"/>
      <c r="I50" s="25"/>
      <c r="J50" s="26"/>
      <c r="K50" s="24" t="s">
        <v>146</v>
      </c>
      <c r="L50" s="23"/>
      <c r="M50" s="29">
        <v>10</v>
      </c>
      <c r="N50" s="30"/>
      <c r="O50" s="12"/>
      <c r="P50" s="13"/>
      <c r="Q50" s="24"/>
      <c r="R50" s="23"/>
      <c r="S50" s="24"/>
      <c r="T50" s="15"/>
      <c r="U50" s="20"/>
      <c r="V50" s="20"/>
      <c r="W50" s="20"/>
      <c r="X50" s="21"/>
      <c r="Y50" s="15"/>
      <c r="Z50" s="15"/>
      <c r="AA50" s="31"/>
      <c r="AB50" s="32"/>
      <c r="AE50" s="2" t="str">
        <f t="shared" si="7"/>
        <v>cash_and_deposits</v>
      </c>
      <c r="AJ50" s="2" t="str">
        <f t="shared" si="8"/>
        <v>TEXT(10)</v>
      </c>
      <c r="AN50" s="2" t="str">
        <f t="shared" si="2"/>
        <v>,</v>
      </c>
    </row>
    <row r="51" spans="1:40" ht="15" customHeight="1">
      <c r="A51" s="11">
        <v>34</v>
      </c>
      <c r="B51" s="24" t="s">
        <v>76</v>
      </c>
      <c r="C51" s="25"/>
      <c r="D51" s="25"/>
      <c r="E51" s="26"/>
      <c r="F51" s="24" t="s">
        <v>23</v>
      </c>
      <c r="G51" s="25"/>
      <c r="H51" s="25"/>
      <c r="I51" s="25"/>
      <c r="J51" s="26"/>
      <c r="K51" s="24" t="s">
        <v>146</v>
      </c>
      <c r="L51" s="23"/>
      <c r="M51" s="29">
        <v>10</v>
      </c>
      <c r="N51" s="30"/>
      <c r="O51" s="12"/>
      <c r="P51" s="13"/>
      <c r="Q51" s="24"/>
      <c r="R51" s="23"/>
      <c r="S51" s="24"/>
      <c r="T51" s="15"/>
      <c r="U51" s="20"/>
      <c r="V51" s="20"/>
      <c r="W51" s="20"/>
      <c r="X51" s="21"/>
      <c r="Y51" s="15"/>
      <c r="Z51" s="15"/>
      <c r="AA51" s="31"/>
      <c r="AB51" s="32"/>
      <c r="AE51" s="2" t="str">
        <f t="shared" si="7"/>
        <v>total_capital</v>
      </c>
      <c r="AJ51" s="2" t="str">
        <f t="shared" si="8"/>
        <v>TEXT(10)</v>
      </c>
      <c r="AN51" s="2" t="str">
        <f t="shared" si="2"/>
        <v>,</v>
      </c>
    </row>
    <row r="52" spans="1:40" ht="15" customHeight="1">
      <c r="A52" s="11">
        <v>35</v>
      </c>
      <c r="B52" s="24" t="s">
        <v>77</v>
      </c>
      <c r="C52" s="25"/>
      <c r="D52" s="25"/>
      <c r="E52" s="26"/>
      <c r="F52" s="24" t="s">
        <v>24</v>
      </c>
      <c r="G52" s="25"/>
      <c r="H52" s="25"/>
      <c r="I52" s="25"/>
      <c r="J52" s="26"/>
      <c r="K52" s="24" t="s">
        <v>146</v>
      </c>
      <c r="L52" s="23"/>
      <c r="M52" s="29"/>
      <c r="N52" s="30"/>
      <c r="O52" s="12"/>
      <c r="P52" s="13"/>
      <c r="Q52" s="24"/>
      <c r="R52" s="23"/>
      <c r="S52" s="24"/>
      <c r="T52" s="15"/>
      <c r="U52" s="20"/>
      <c r="V52" s="20"/>
      <c r="W52" s="20"/>
      <c r="X52" s="21"/>
      <c r="Y52" s="15"/>
      <c r="Z52" s="15"/>
      <c r="AA52" s="31"/>
      <c r="AB52" s="32"/>
      <c r="AE52" s="2" t="str">
        <f t="shared" si="7"/>
        <v>average_annual_income</v>
      </c>
      <c r="AJ52" s="2" t="str">
        <f t="shared" si="8"/>
        <v>TEXT</v>
      </c>
      <c r="AN52" s="2" t="str">
        <f t="shared" si="2"/>
        <v>,</v>
      </c>
    </row>
    <row r="53" spans="1:40" ht="15" customHeight="1">
      <c r="A53" s="11">
        <v>47</v>
      </c>
      <c r="B53" s="24" t="s">
        <v>108</v>
      </c>
      <c r="C53" s="25"/>
      <c r="D53" s="25"/>
      <c r="E53" s="26"/>
      <c r="F53" s="24" t="s">
        <v>110</v>
      </c>
      <c r="G53" s="25"/>
      <c r="H53" s="25"/>
      <c r="I53" s="25"/>
      <c r="J53" s="26"/>
      <c r="K53" s="24" t="s">
        <v>146</v>
      </c>
      <c r="L53" s="23"/>
      <c r="M53" s="29">
        <v>10</v>
      </c>
      <c r="N53" s="30"/>
      <c r="O53" s="12"/>
      <c r="P53" s="13"/>
      <c r="Q53" s="24"/>
      <c r="R53" s="23"/>
      <c r="S53" s="24"/>
      <c r="T53" s="15"/>
      <c r="U53" s="20"/>
      <c r="V53" s="20"/>
      <c r="W53" s="20"/>
      <c r="X53" s="21"/>
      <c r="Y53" s="15"/>
      <c r="Z53" s="15"/>
      <c r="AA53" s="31"/>
      <c r="AB53" s="32"/>
      <c r="AE53" s="2" t="str">
        <f t="shared" si="7"/>
        <v>delisting_date</v>
      </c>
      <c r="AJ53" s="2" t="str">
        <f t="shared" si="8"/>
        <v>TEXT(10)</v>
      </c>
      <c r="AN53" s="2" t="str">
        <f t="shared" si="2"/>
        <v>,</v>
      </c>
    </row>
    <row r="54" spans="1:40" ht="15" customHeight="1">
      <c r="A54" s="11">
        <v>48</v>
      </c>
      <c r="B54" s="24" t="s">
        <v>86</v>
      </c>
      <c r="C54" s="25"/>
      <c r="D54" s="25"/>
      <c r="E54" s="26"/>
      <c r="F54" s="24" t="s">
        <v>33</v>
      </c>
      <c r="G54" s="25"/>
      <c r="H54" s="25"/>
      <c r="I54" s="25"/>
      <c r="J54" s="26"/>
      <c r="K54" s="24" t="s">
        <v>146</v>
      </c>
      <c r="L54" s="23"/>
      <c r="M54" s="29">
        <v>10</v>
      </c>
      <c r="N54" s="30"/>
      <c r="O54" s="12"/>
      <c r="P54" s="13"/>
      <c r="Q54" s="24"/>
      <c r="R54" s="23"/>
      <c r="S54" s="24" t="s">
        <v>105</v>
      </c>
      <c r="T54" s="15"/>
      <c r="U54" s="20"/>
      <c r="V54" s="20"/>
      <c r="W54" s="20"/>
      <c r="X54" s="21"/>
      <c r="Y54" s="15"/>
      <c r="Z54" s="15"/>
      <c r="AA54" s="31"/>
      <c r="AB54" s="32"/>
      <c r="AE54" s="2" t="str">
        <f t="shared" si="0"/>
        <v>update_date</v>
      </c>
      <c r="AJ54" s="2" t="str">
        <f t="shared" si="5"/>
        <v>TEXT(10)</v>
      </c>
      <c r="AN54" s="2" t="str">
        <f t="shared" si="2"/>
        <v>,</v>
      </c>
    </row>
    <row r="55" spans="1:40" ht="15" customHeight="1">
      <c r="T55" s="5"/>
      <c r="U55" s="5"/>
      <c r="V55" s="5"/>
      <c r="W55" s="5"/>
      <c r="X55" s="5"/>
      <c r="Y55" s="5"/>
      <c r="Z55" s="5"/>
      <c r="AA55" s="5"/>
      <c r="AB55" s="5"/>
      <c r="AE55" s="2" t="e">
        <f>"PRIMARY KEY (" &amp; VLOOKUP(O7,O,1,FALSE)  &amp; ")"</f>
        <v>#NAME?</v>
      </c>
    </row>
    <row r="56" spans="1:40" ht="15" customHeight="1">
      <c r="T56" s="5"/>
      <c r="U56" s="5"/>
      <c r="V56" s="5"/>
      <c r="W56" s="5"/>
      <c r="X56" s="5"/>
      <c r="Y56" s="5"/>
      <c r="Z56" s="5"/>
      <c r="AA56" s="5"/>
      <c r="AB56" s="5"/>
      <c r="AD56" s="2" t="str">
        <f>");"</f>
        <v>);</v>
      </c>
    </row>
    <row r="57" spans="1:40" ht="15" customHeight="1">
      <c r="T57" s="5"/>
      <c r="U57" s="5"/>
      <c r="V57" s="5"/>
      <c r="W57" s="5"/>
      <c r="X57" s="5"/>
      <c r="Y57" s="5"/>
      <c r="Z57" s="5"/>
      <c r="AA57" s="5"/>
      <c r="AB57" s="5"/>
    </row>
    <row r="58" spans="1:40" ht="15" customHeight="1">
      <c r="T58" s="5"/>
      <c r="U58" s="5"/>
      <c r="V58" s="5"/>
      <c r="W58" s="5"/>
      <c r="X58" s="5"/>
      <c r="Y58" s="5"/>
      <c r="Z58" s="5"/>
      <c r="AA58" s="5"/>
      <c r="AB58" s="5"/>
    </row>
    <row r="59" spans="1:40" ht="15" customHeight="1">
      <c r="T59" s="5"/>
      <c r="U59" s="5"/>
      <c r="V59" s="5"/>
      <c r="W59" s="5"/>
      <c r="X59" s="5"/>
      <c r="Y59" s="5"/>
      <c r="Z59" s="5"/>
      <c r="AA59" s="5"/>
      <c r="AB59" s="5"/>
    </row>
    <row r="60" spans="1:40" ht="15" customHeight="1">
      <c r="T60" s="5"/>
      <c r="U60" s="5"/>
      <c r="V60" s="5"/>
      <c r="W60" s="5"/>
      <c r="X60" s="5"/>
      <c r="Y60" s="5"/>
      <c r="Z60" s="5"/>
      <c r="AA60" s="5"/>
      <c r="AB60" s="5"/>
    </row>
    <row r="61" spans="1:40" ht="15" customHeight="1">
      <c r="T61" s="5"/>
      <c r="U61" s="5"/>
      <c r="V61" s="5"/>
      <c r="W61" s="5"/>
      <c r="X61" s="5"/>
      <c r="Y61" s="5"/>
      <c r="Z61" s="5"/>
      <c r="AA61" s="5"/>
      <c r="AB61" s="5"/>
    </row>
    <row r="62" spans="1:40" ht="15" customHeight="1">
      <c r="T62" s="5"/>
      <c r="U62" s="5"/>
      <c r="V62" s="5"/>
      <c r="W62" s="5"/>
      <c r="X62" s="5"/>
      <c r="Y62" s="5"/>
      <c r="Z62" s="5"/>
      <c r="AA62" s="5"/>
      <c r="AB62" s="5"/>
    </row>
    <row r="63" spans="1:40" ht="15" customHeight="1">
      <c r="T63" s="5"/>
      <c r="U63" s="5"/>
      <c r="V63" s="5"/>
      <c r="W63" s="5"/>
      <c r="X63" s="5"/>
      <c r="Y63" s="5"/>
      <c r="Z63" s="5"/>
      <c r="AA63" s="5"/>
      <c r="AB63" s="5"/>
    </row>
    <row r="64" spans="1:40" ht="15" customHeight="1">
      <c r="T64" s="5"/>
      <c r="U64" s="5"/>
      <c r="V64" s="5"/>
      <c r="W64" s="5"/>
      <c r="X64" s="5"/>
      <c r="Y64" s="5"/>
      <c r="Z64" s="5"/>
      <c r="AA64" s="5"/>
      <c r="AB64" s="5"/>
    </row>
    <row r="65" spans="20:28" ht="15" customHeight="1">
      <c r="T65" s="5"/>
      <c r="U65" s="5"/>
      <c r="V65" s="5"/>
      <c r="W65" s="5"/>
      <c r="X65" s="5"/>
      <c r="Y65" s="5"/>
      <c r="Z65" s="5"/>
      <c r="AA65" s="5"/>
      <c r="AB65" s="5"/>
    </row>
    <row r="66" spans="20:28" ht="15" customHeight="1">
      <c r="T66" s="5"/>
      <c r="U66" s="5"/>
      <c r="V66" s="5"/>
      <c r="W66" s="5"/>
      <c r="X66" s="5"/>
      <c r="Y66" s="5"/>
      <c r="Z66" s="5"/>
      <c r="AA66" s="5"/>
      <c r="AB66" s="5"/>
    </row>
    <row r="67" spans="20:28" ht="15" customHeight="1">
      <c r="T67" s="5"/>
      <c r="U67" s="5"/>
      <c r="V67" s="5"/>
      <c r="W67" s="5"/>
      <c r="X67" s="5"/>
      <c r="Y67" s="5"/>
      <c r="Z67" s="5"/>
      <c r="AA67" s="5"/>
      <c r="AB67" s="5"/>
    </row>
    <row r="68" spans="20:28" ht="15" customHeight="1">
      <c r="T68" s="5"/>
      <c r="U68" s="5"/>
      <c r="V68" s="5"/>
      <c r="W68" s="5"/>
      <c r="X68" s="5"/>
      <c r="Y68" s="5"/>
      <c r="Z68" s="5"/>
      <c r="AA68" s="5"/>
      <c r="AB68" s="5"/>
    </row>
    <row r="69" spans="20:28" ht="15" customHeight="1">
      <c r="T69" s="5"/>
      <c r="U69" s="5"/>
      <c r="V69" s="5"/>
      <c r="W69" s="5"/>
      <c r="X69" s="5"/>
      <c r="Y69" s="5"/>
      <c r="Z69" s="5"/>
      <c r="AA69" s="5"/>
      <c r="AB69" s="5"/>
    </row>
    <row r="70" spans="20:28" ht="15" customHeight="1">
      <c r="T70" s="5"/>
      <c r="U70" s="5"/>
      <c r="V70" s="5"/>
      <c r="W70" s="5"/>
      <c r="X70" s="5"/>
      <c r="Y70" s="5"/>
      <c r="Z70" s="5"/>
      <c r="AA70" s="5"/>
      <c r="AB70" s="5"/>
    </row>
    <row r="71" spans="20:28" ht="15" customHeight="1">
      <c r="T71" s="5"/>
      <c r="U71" s="5"/>
      <c r="V71" s="5"/>
      <c r="W71" s="5"/>
      <c r="X71" s="5"/>
      <c r="Y71" s="5"/>
      <c r="Z71" s="5"/>
      <c r="AA71" s="5"/>
      <c r="AB71" s="5"/>
    </row>
    <row r="72" spans="20:28" ht="15" customHeight="1">
      <c r="T72" s="5"/>
      <c r="U72" s="5"/>
      <c r="V72" s="5"/>
      <c r="W72" s="5"/>
      <c r="X72" s="5"/>
      <c r="Y72" s="5"/>
      <c r="Z72" s="5"/>
      <c r="AA72" s="5"/>
      <c r="AB72" s="5"/>
    </row>
    <row r="73" spans="20:28" ht="15" customHeight="1">
      <c r="T73" s="5"/>
      <c r="U73" s="5"/>
      <c r="V73" s="5"/>
      <c r="W73" s="5"/>
      <c r="X73" s="5"/>
      <c r="Y73" s="5"/>
      <c r="Z73" s="5"/>
      <c r="AA73" s="5"/>
      <c r="AB73" s="5"/>
    </row>
    <row r="74" spans="20:28" ht="15" customHeight="1">
      <c r="T74" s="5"/>
      <c r="U74" s="5"/>
      <c r="V74" s="5"/>
      <c r="W74" s="5"/>
      <c r="X74" s="5"/>
      <c r="Y74" s="5"/>
      <c r="Z74" s="5"/>
      <c r="AA74" s="5"/>
      <c r="AB74" s="5"/>
    </row>
    <row r="75" spans="20:28" ht="15" customHeight="1">
      <c r="T75" s="5"/>
      <c r="U75" s="5"/>
      <c r="V75" s="5"/>
      <c r="W75" s="5"/>
      <c r="X75" s="5"/>
      <c r="Y75" s="5"/>
      <c r="Z75" s="5"/>
      <c r="AA75" s="5"/>
      <c r="AB75" s="5"/>
    </row>
    <row r="76" spans="20:28" ht="15" customHeight="1">
      <c r="T76" s="5"/>
      <c r="U76" s="5"/>
      <c r="V76" s="5"/>
      <c r="W76" s="5"/>
      <c r="X76" s="5"/>
      <c r="Y76" s="5"/>
      <c r="Z76" s="5"/>
      <c r="AA76" s="5"/>
      <c r="AB76" s="5"/>
    </row>
    <row r="77" spans="20:28" ht="15" customHeight="1">
      <c r="T77" s="5"/>
      <c r="U77" s="5"/>
      <c r="V77" s="5"/>
      <c r="W77" s="5"/>
      <c r="X77" s="5"/>
      <c r="Y77" s="5"/>
      <c r="Z77" s="5"/>
      <c r="AA77" s="5"/>
      <c r="AB77" s="5"/>
    </row>
    <row r="78" spans="20:28" ht="15" customHeight="1">
      <c r="T78" s="5"/>
      <c r="U78" s="5"/>
      <c r="V78" s="5"/>
      <c r="W78" s="5"/>
      <c r="X78" s="5"/>
      <c r="Y78" s="5"/>
      <c r="Z78" s="5"/>
      <c r="AA78" s="5"/>
      <c r="AB78" s="5"/>
    </row>
    <row r="79" spans="20:28" ht="15" customHeight="1">
      <c r="T79" s="5"/>
      <c r="U79" s="5"/>
      <c r="V79" s="5"/>
      <c r="W79" s="5"/>
      <c r="X79" s="5"/>
      <c r="Y79" s="5"/>
      <c r="Z79" s="5"/>
      <c r="AA79" s="5"/>
      <c r="AB79" s="5"/>
    </row>
    <row r="80" spans="20:28" ht="15" customHeight="1">
      <c r="T80" s="5"/>
      <c r="U80" s="5"/>
      <c r="V80" s="5"/>
      <c r="W80" s="5"/>
      <c r="X80" s="5"/>
      <c r="Y80" s="5"/>
      <c r="Z80" s="5"/>
      <c r="AA80" s="5"/>
      <c r="AB80" s="5"/>
    </row>
    <row r="81" spans="20:28" ht="15" customHeight="1">
      <c r="T81" s="5"/>
      <c r="U81" s="5"/>
      <c r="V81" s="5"/>
      <c r="W81" s="5"/>
      <c r="X81" s="5"/>
      <c r="Y81" s="5"/>
      <c r="Z81" s="5"/>
      <c r="AA81" s="5"/>
      <c r="AB81" s="5"/>
    </row>
    <row r="82" spans="20:28" ht="15" customHeight="1">
      <c r="T82" s="5"/>
      <c r="U82" s="5"/>
      <c r="V82" s="5"/>
      <c r="W82" s="5"/>
      <c r="X82" s="5"/>
      <c r="Y82" s="5"/>
      <c r="Z82" s="5"/>
      <c r="AA82" s="5"/>
      <c r="AB82" s="5"/>
    </row>
    <row r="83" spans="20:28" ht="15" customHeight="1">
      <c r="T83" s="5"/>
      <c r="U83" s="5"/>
      <c r="V83" s="5"/>
      <c r="W83" s="5"/>
      <c r="X83" s="5"/>
      <c r="Y83" s="5"/>
      <c r="Z83" s="5"/>
      <c r="AA83" s="5"/>
      <c r="AB83" s="5"/>
    </row>
    <row r="84" spans="20:28" ht="15" customHeight="1">
      <c r="T84" s="5"/>
      <c r="U84" s="5"/>
      <c r="V84" s="5"/>
      <c r="W84" s="5"/>
      <c r="X84" s="5"/>
      <c r="Y84" s="5"/>
      <c r="Z84" s="5"/>
      <c r="AA84" s="5"/>
      <c r="AB84" s="5"/>
    </row>
  </sheetData>
  <mergeCells count="19">
    <mergeCell ref="AA1:AB3"/>
    <mergeCell ref="F2:I2"/>
    <mergeCell ref="P2:S2"/>
    <mergeCell ref="F3:I3"/>
    <mergeCell ref="P3:S3"/>
    <mergeCell ref="F1:I1"/>
    <mergeCell ref="P1:S1"/>
    <mergeCell ref="Z1:Z3"/>
    <mergeCell ref="A1:E3"/>
    <mergeCell ref="B6:E6"/>
    <mergeCell ref="F6:J6"/>
    <mergeCell ref="K6:L6"/>
    <mergeCell ref="P5:P6"/>
    <mergeCell ref="S5:AB6"/>
    <mergeCell ref="B5:J5"/>
    <mergeCell ref="A5:A6"/>
    <mergeCell ref="K5:N5"/>
    <mergeCell ref="O5:O6"/>
    <mergeCell ref="Q5:R6"/>
  </mergeCells>
  <phoneticPr fontId="4"/>
  <pageMargins left="0.39370078740157483" right="0.39370078740157483" top="0.78740157480314965" bottom="0.78740157480314965" header="0.51181102362204722" footer="0.51181102362204722"/>
  <pageSetup paperSize="9" orientation="landscape" horizontalDpi="300" verticalDpi="300" r:id="rId1"/>
  <headerFooter alignWithMargins="0">
    <oddHeader>&amp;L株式会社日本ブレーン&amp;R&amp;P／&amp;N</oddHeader>
    <oddFooter>&amp;L（社外秘）&amp;R印刷日：&amp;D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N35"/>
  <sheetViews>
    <sheetView showGridLines="0" zoomScale="115" zoomScaleNormal="115" zoomScaleSheetLayoutView="100" workbookViewId="0">
      <pane ySplit="4" topLeftCell="A5" activePane="bottomLeft" state="frozen"/>
      <selection activeCell="G40" sqref="G40"/>
      <selection pane="bottomLeft" activeCell="J19" sqref="J19"/>
    </sheetView>
  </sheetViews>
  <sheetFormatPr defaultColWidth="4.625" defaultRowHeight="15" customHeight="1"/>
  <cols>
    <col min="1" max="18" width="4.625" style="2"/>
    <col min="19" max="19" width="4.625" style="2" customWidth="1"/>
    <col min="20" max="20" width="4.625" style="2"/>
    <col min="21" max="21" width="4.625" style="2" customWidth="1"/>
    <col min="22" max="30" width="4.625" style="2"/>
    <col min="31" max="31" width="4.625" style="2" customWidth="1"/>
    <col min="32" max="37" width="4.625" style="2"/>
    <col min="38" max="38" width="4.625" style="2" customWidth="1"/>
    <col min="39" max="16384" width="4.625" style="2"/>
  </cols>
  <sheetData>
    <row r="1" spans="1:40" s="1" customFormat="1" ht="15" customHeight="1" thickTop="1">
      <c r="A1" s="109" t="s">
        <v>34</v>
      </c>
      <c r="B1" s="110"/>
      <c r="C1" s="110"/>
      <c r="D1" s="110"/>
      <c r="E1" s="111"/>
      <c r="F1" s="132" t="s">
        <v>35</v>
      </c>
      <c r="G1" s="133"/>
      <c r="H1" s="134"/>
      <c r="I1" s="134"/>
      <c r="J1" s="38"/>
      <c r="K1" s="34"/>
      <c r="L1" s="34"/>
      <c r="M1" s="34"/>
      <c r="N1" s="34"/>
      <c r="O1" s="34"/>
      <c r="P1" s="135" t="s">
        <v>36</v>
      </c>
      <c r="Q1" s="133"/>
      <c r="R1" s="133"/>
      <c r="S1" s="136"/>
      <c r="T1" s="33"/>
      <c r="U1" s="33"/>
      <c r="V1" s="34"/>
      <c r="W1" s="34"/>
      <c r="X1" s="34"/>
      <c r="Y1" s="35"/>
      <c r="Z1" s="137" t="s">
        <v>53</v>
      </c>
      <c r="AA1" s="126" t="s">
        <v>37</v>
      </c>
      <c r="AB1" s="127"/>
    </row>
    <row r="2" spans="1:40" s="1" customFormat="1" ht="15" customHeight="1">
      <c r="A2" s="112"/>
      <c r="B2" s="113"/>
      <c r="C2" s="113"/>
      <c r="D2" s="113"/>
      <c r="E2" s="114"/>
      <c r="F2" s="132" t="s">
        <v>38</v>
      </c>
      <c r="G2" s="133"/>
      <c r="H2" s="134"/>
      <c r="I2" s="134"/>
      <c r="J2" s="38" t="s">
        <v>100</v>
      </c>
      <c r="K2" s="34"/>
      <c r="L2" s="34"/>
      <c r="M2" s="34"/>
      <c r="N2" s="34"/>
      <c r="O2" s="34"/>
      <c r="P2" s="135" t="s">
        <v>39</v>
      </c>
      <c r="Q2" s="133"/>
      <c r="R2" s="133"/>
      <c r="S2" s="136"/>
      <c r="T2" s="39" t="s">
        <v>55</v>
      </c>
      <c r="U2" s="33"/>
      <c r="V2" s="36" t="s">
        <v>88</v>
      </c>
      <c r="W2" s="33"/>
      <c r="X2" s="33"/>
      <c r="Y2" s="37"/>
      <c r="Z2" s="138"/>
      <c r="AA2" s="128"/>
      <c r="AB2" s="129"/>
    </row>
    <row r="3" spans="1:40" s="1" customFormat="1" ht="15" customHeight="1" thickBot="1">
      <c r="A3" s="115"/>
      <c r="B3" s="116"/>
      <c r="C3" s="116"/>
      <c r="D3" s="116"/>
      <c r="E3" s="117"/>
      <c r="F3" s="132" t="s">
        <v>40</v>
      </c>
      <c r="G3" s="133"/>
      <c r="H3" s="134"/>
      <c r="I3" s="134"/>
      <c r="J3" s="38" t="s">
        <v>172</v>
      </c>
      <c r="K3" s="34"/>
      <c r="L3" s="34"/>
      <c r="M3" s="34"/>
      <c r="N3" s="34"/>
      <c r="O3" s="34"/>
      <c r="P3" s="135" t="s">
        <v>41</v>
      </c>
      <c r="Q3" s="133"/>
      <c r="R3" s="133"/>
      <c r="S3" s="136"/>
      <c r="T3" s="33"/>
      <c r="U3" s="33"/>
      <c r="V3" s="36"/>
      <c r="W3" s="33"/>
      <c r="X3" s="33"/>
      <c r="Y3" s="37"/>
      <c r="Z3" s="139"/>
      <c r="AA3" s="130"/>
      <c r="AB3" s="131"/>
    </row>
    <row r="4" spans="1:40" ht="15" customHeight="1" thickTop="1"/>
    <row r="5" spans="1:40" ht="15" customHeight="1">
      <c r="A5" s="105" t="s">
        <v>42</v>
      </c>
      <c r="B5" s="102" t="s">
        <v>91</v>
      </c>
      <c r="C5" s="103"/>
      <c r="D5" s="103"/>
      <c r="E5" s="103"/>
      <c r="F5" s="103"/>
      <c r="G5" s="103"/>
      <c r="H5" s="103"/>
      <c r="I5" s="103"/>
      <c r="J5" s="104"/>
      <c r="K5" s="102" t="s">
        <v>92</v>
      </c>
      <c r="L5" s="103"/>
      <c r="M5" s="103"/>
      <c r="N5" s="104"/>
      <c r="O5" s="107" t="s">
        <v>43</v>
      </c>
      <c r="P5" s="107" t="s">
        <v>44</v>
      </c>
      <c r="Q5" s="96" t="s">
        <v>95</v>
      </c>
      <c r="R5" s="98"/>
      <c r="S5" s="96" t="s">
        <v>46</v>
      </c>
      <c r="T5" s="97"/>
      <c r="U5" s="97"/>
      <c r="V5" s="97"/>
      <c r="W5" s="97"/>
      <c r="X5" s="97"/>
      <c r="Y5" s="97"/>
      <c r="Z5" s="97"/>
      <c r="AA5" s="97"/>
      <c r="AB5" s="98"/>
      <c r="AD5" s="2" t="str">
        <f>"-- " &amp; J2</f>
        <v>-- 上場状況</v>
      </c>
    </row>
    <row r="6" spans="1:40" ht="15" customHeight="1" thickBot="1">
      <c r="A6" s="106"/>
      <c r="B6" s="118" t="s">
        <v>90</v>
      </c>
      <c r="C6" s="119"/>
      <c r="D6" s="119"/>
      <c r="E6" s="120"/>
      <c r="F6" s="121" t="s">
        <v>89</v>
      </c>
      <c r="G6" s="121"/>
      <c r="H6" s="121"/>
      <c r="I6" s="121"/>
      <c r="J6" s="121"/>
      <c r="K6" s="122" t="s">
        <v>93</v>
      </c>
      <c r="L6" s="123"/>
      <c r="M6" s="18" t="s">
        <v>94</v>
      </c>
      <c r="N6" s="16" t="s">
        <v>45</v>
      </c>
      <c r="O6" s="108"/>
      <c r="P6" s="108"/>
      <c r="Q6" s="99"/>
      <c r="R6" s="101"/>
      <c r="S6" s="99"/>
      <c r="T6" s="100"/>
      <c r="U6" s="100"/>
      <c r="V6" s="100"/>
      <c r="W6" s="100"/>
      <c r="X6" s="100"/>
      <c r="Y6" s="100"/>
      <c r="Z6" s="100"/>
      <c r="AA6" s="100"/>
      <c r="AB6" s="101"/>
      <c r="AD6" s="2" t="str">
        <f>"CREATE TABLE " &amp; J3 &amp;" ("</f>
        <v>CREATE TABLE listing_status (</v>
      </c>
    </row>
    <row r="7" spans="1:40" ht="15" customHeight="1" thickTop="1">
      <c r="A7" s="10">
        <v>1</v>
      </c>
      <c r="B7" s="24" t="s">
        <v>58</v>
      </c>
      <c r="C7" s="25"/>
      <c r="D7" s="25"/>
      <c r="E7" s="26"/>
      <c r="F7" s="24" t="s">
        <v>3</v>
      </c>
      <c r="G7" s="25"/>
      <c r="H7" s="25"/>
      <c r="I7" s="25"/>
      <c r="J7" s="26"/>
      <c r="K7" s="24" t="s">
        <v>146</v>
      </c>
      <c r="L7" s="23"/>
      <c r="M7" s="27">
        <v>10</v>
      </c>
      <c r="N7" s="28"/>
      <c r="O7" s="17" t="s">
        <v>96</v>
      </c>
      <c r="P7" s="17"/>
      <c r="Q7" s="24"/>
      <c r="R7" s="23"/>
      <c r="S7" s="19"/>
      <c r="T7" s="20"/>
      <c r="U7" s="20"/>
      <c r="V7" s="20"/>
      <c r="W7" s="20"/>
      <c r="X7" s="21"/>
      <c r="Y7" s="20"/>
      <c r="Z7" s="20"/>
      <c r="AA7" s="21"/>
      <c r="AB7" s="22"/>
      <c r="AE7" s="2" t="str">
        <f>F7</f>
        <v>exchange</v>
      </c>
      <c r="AJ7" s="2" t="str">
        <f>K7&amp;IF(M7&lt;&gt;"","("&amp;M7&amp;")","")</f>
        <v>TEXT(10)</v>
      </c>
      <c r="AN7" s="2" t="str">
        <f>","</f>
        <v>,</v>
      </c>
    </row>
    <row r="8" spans="1:40" ht="15" customHeight="1">
      <c r="A8" s="11">
        <v>2</v>
      </c>
      <c r="B8" s="24" t="s">
        <v>56</v>
      </c>
      <c r="C8" s="25"/>
      <c r="D8" s="25"/>
      <c r="E8" s="26"/>
      <c r="F8" s="24" t="s">
        <v>0</v>
      </c>
      <c r="G8" s="25"/>
      <c r="H8" s="25"/>
      <c r="I8" s="25"/>
      <c r="J8" s="26"/>
      <c r="K8" s="24" t="s">
        <v>146</v>
      </c>
      <c r="L8" s="23"/>
      <c r="M8" s="29">
        <v>10</v>
      </c>
      <c r="N8" s="30"/>
      <c r="O8" s="12" t="s">
        <v>87</v>
      </c>
      <c r="P8" s="13"/>
      <c r="Q8" s="24"/>
      <c r="R8" s="23"/>
      <c r="S8" s="14"/>
      <c r="T8" s="15"/>
      <c r="U8" s="20"/>
      <c r="V8" s="20"/>
      <c r="W8" s="20"/>
      <c r="X8" s="21"/>
      <c r="Y8" s="15"/>
      <c r="Z8" s="15"/>
      <c r="AA8" s="31"/>
      <c r="AB8" s="32"/>
      <c r="AE8" s="2" t="str">
        <f t="shared" ref="AE8:AE13" si="0">F8</f>
        <v>symbol</v>
      </c>
      <c r="AJ8" s="2" t="str">
        <f t="shared" ref="AJ8:AJ13" si="1">K8&amp;IF(M8&lt;&gt;"","("&amp;M8&amp;")","")</f>
        <v>TEXT(10)</v>
      </c>
      <c r="AN8" s="2" t="str">
        <f t="shared" ref="AN8:AN13" si="2">","</f>
        <v>,</v>
      </c>
    </row>
    <row r="9" spans="1:40" ht="15" customHeight="1">
      <c r="A9" s="11">
        <v>3</v>
      </c>
      <c r="B9" s="24" t="s">
        <v>57</v>
      </c>
      <c r="C9" s="25"/>
      <c r="D9" s="25"/>
      <c r="E9" s="26"/>
      <c r="F9" s="24" t="s">
        <v>2</v>
      </c>
      <c r="G9" s="25"/>
      <c r="H9" s="25"/>
      <c r="I9" s="25"/>
      <c r="J9" s="26"/>
      <c r="K9" s="24" t="s">
        <v>146</v>
      </c>
      <c r="L9" s="23"/>
      <c r="M9" s="29">
        <v>76</v>
      </c>
      <c r="N9" s="30"/>
      <c r="O9" s="12"/>
      <c r="P9" s="13" t="s">
        <v>87</v>
      </c>
      <c r="Q9" s="24"/>
      <c r="R9" s="23"/>
      <c r="S9" s="14"/>
      <c r="T9" s="15"/>
      <c r="U9" s="20"/>
      <c r="V9" s="20"/>
      <c r="W9" s="20"/>
      <c r="X9" s="21"/>
      <c r="Y9" s="15"/>
      <c r="Z9" s="15"/>
      <c r="AA9" s="31"/>
      <c r="AB9" s="32"/>
      <c r="AE9" s="2" t="str">
        <f t="shared" si="0"/>
        <v>name</v>
      </c>
      <c r="AJ9" s="2" t="str">
        <f t="shared" si="1"/>
        <v>TEXT(76)</v>
      </c>
      <c r="AN9" s="2" t="str">
        <f t="shared" si="2"/>
        <v>,</v>
      </c>
    </row>
    <row r="10" spans="1:40" ht="15" customHeight="1">
      <c r="A10" s="11">
        <v>4</v>
      </c>
      <c r="B10" s="24" t="s">
        <v>58</v>
      </c>
      <c r="C10" s="25"/>
      <c r="D10" s="25"/>
      <c r="E10" s="26"/>
      <c r="F10" s="24" t="s">
        <v>97</v>
      </c>
      <c r="G10" s="25"/>
      <c r="H10" s="25"/>
      <c r="I10" s="25"/>
      <c r="J10" s="26"/>
      <c r="K10" s="24" t="s">
        <v>146</v>
      </c>
      <c r="L10" s="23"/>
      <c r="M10" s="29">
        <v>5</v>
      </c>
      <c r="N10" s="30"/>
      <c r="O10" s="12"/>
      <c r="P10" s="13"/>
      <c r="Q10" s="24"/>
      <c r="R10" s="23"/>
      <c r="S10" s="14"/>
      <c r="T10" s="15"/>
      <c r="U10" s="20"/>
      <c r="V10" s="20"/>
      <c r="W10" s="20"/>
      <c r="X10" s="21"/>
      <c r="Y10" s="15"/>
      <c r="Z10" s="15"/>
      <c r="AA10" s="31"/>
      <c r="AB10" s="32"/>
      <c r="AE10" s="2" t="str">
        <f t="shared" si="0"/>
        <v>assetType</v>
      </c>
      <c r="AJ10" s="2" t="str">
        <f t="shared" si="1"/>
        <v>TEXT(5)</v>
      </c>
      <c r="AN10" s="2" t="str">
        <f t="shared" si="2"/>
        <v>,</v>
      </c>
    </row>
    <row r="11" spans="1:40" ht="15" customHeight="1">
      <c r="A11" s="11">
        <v>5</v>
      </c>
      <c r="B11" s="24" t="s">
        <v>59</v>
      </c>
      <c r="C11" s="25"/>
      <c r="D11" s="25"/>
      <c r="E11" s="26"/>
      <c r="F11" s="24" t="s">
        <v>98</v>
      </c>
      <c r="G11" s="25"/>
      <c r="H11" s="25"/>
      <c r="I11" s="25"/>
      <c r="J11" s="26"/>
      <c r="K11" s="24" t="s">
        <v>146</v>
      </c>
      <c r="L11" s="23"/>
      <c r="M11" s="41">
        <v>10</v>
      </c>
      <c r="N11" s="30"/>
      <c r="O11" s="12"/>
      <c r="P11" s="13"/>
      <c r="Q11" s="24"/>
      <c r="R11" s="23"/>
      <c r="S11" s="42" t="s">
        <v>105</v>
      </c>
      <c r="T11" s="15"/>
      <c r="U11" s="20"/>
      <c r="V11" s="20"/>
      <c r="W11" s="20"/>
      <c r="X11" s="21"/>
      <c r="Y11" s="15"/>
      <c r="Z11" s="15"/>
      <c r="AA11" s="31"/>
      <c r="AB11" s="32"/>
      <c r="AE11" s="2" t="str">
        <f t="shared" si="0"/>
        <v>ipoDate</v>
      </c>
      <c r="AJ11" s="2" t="str">
        <f t="shared" si="1"/>
        <v>TEXT(10)</v>
      </c>
      <c r="AN11" s="2" t="str">
        <f t="shared" si="2"/>
        <v>,</v>
      </c>
    </row>
    <row r="12" spans="1:40" ht="15" customHeight="1">
      <c r="A12" s="11">
        <v>6</v>
      </c>
      <c r="B12" s="24" t="s">
        <v>107</v>
      </c>
      <c r="C12" s="25"/>
      <c r="D12" s="25"/>
      <c r="E12" s="26"/>
      <c r="F12" s="24" t="s">
        <v>106</v>
      </c>
      <c r="G12" s="25"/>
      <c r="H12" s="25"/>
      <c r="I12" s="25"/>
      <c r="J12" s="26"/>
      <c r="K12" s="24" t="s">
        <v>146</v>
      </c>
      <c r="L12" s="23"/>
      <c r="M12" s="41">
        <v>10</v>
      </c>
      <c r="N12" s="30"/>
      <c r="O12" s="12"/>
      <c r="P12" s="13"/>
      <c r="Q12" s="24"/>
      <c r="R12" s="23"/>
      <c r="S12" s="42" t="s">
        <v>105</v>
      </c>
      <c r="T12" s="15"/>
      <c r="U12" s="20"/>
      <c r="V12" s="20"/>
      <c r="W12" s="20"/>
      <c r="X12" s="21"/>
      <c r="Y12" s="15"/>
      <c r="Z12" s="15"/>
      <c r="AA12" s="31"/>
      <c r="AB12" s="32"/>
      <c r="AE12" s="2" t="str">
        <f t="shared" si="0"/>
        <v>delistingDate</v>
      </c>
      <c r="AJ12" s="2" t="str">
        <f t="shared" si="1"/>
        <v>TEXT(10)</v>
      </c>
      <c r="AN12" s="2" t="str">
        <f t="shared" si="2"/>
        <v>,</v>
      </c>
    </row>
    <row r="13" spans="1:40" ht="15" customHeight="1">
      <c r="A13" s="11">
        <v>7</v>
      </c>
      <c r="B13" s="24" t="s">
        <v>103</v>
      </c>
      <c r="C13" s="25"/>
      <c r="D13" s="25"/>
      <c r="E13" s="26"/>
      <c r="F13" s="24" t="s">
        <v>99</v>
      </c>
      <c r="G13" s="25"/>
      <c r="H13" s="25"/>
      <c r="I13" s="25"/>
      <c r="J13" s="26"/>
      <c r="K13" s="24" t="s">
        <v>146</v>
      </c>
      <c r="L13" s="23"/>
      <c r="M13" s="29">
        <v>8</v>
      </c>
      <c r="N13" s="30"/>
      <c r="O13" s="12"/>
      <c r="P13" s="13"/>
      <c r="Q13" s="24"/>
      <c r="R13" s="23"/>
      <c r="S13" s="24" t="s">
        <v>104</v>
      </c>
      <c r="T13" s="15"/>
      <c r="U13" s="20"/>
      <c r="V13" s="20"/>
      <c r="W13" s="20"/>
      <c r="X13" s="21"/>
      <c r="Y13" s="15"/>
      <c r="Z13" s="15"/>
      <c r="AA13" s="31"/>
      <c r="AB13" s="32"/>
      <c r="AE13" s="2" t="str">
        <f t="shared" si="0"/>
        <v>status</v>
      </c>
      <c r="AJ13" s="2" t="str">
        <f t="shared" si="1"/>
        <v>TEXT(8)</v>
      </c>
      <c r="AN13" s="2" t="str">
        <f t="shared" si="2"/>
        <v>,</v>
      </c>
    </row>
    <row r="14" spans="1:40" ht="15" customHeight="1">
      <c r="T14" s="5"/>
      <c r="U14" s="5"/>
      <c r="V14" s="5"/>
      <c r="W14" s="5"/>
      <c r="X14" s="5"/>
      <c r="Y14" s="5"/>
      <c r="Z14" s="5"/>
      <c r="AA14" s="5"/>
      <c r="AB14" s="5"/>
      <c r="AE14" s="2" t="e">
        <f>"PRIMARY KEY (" &amp; VLOOKUP(O7,O,1,FALSE)  &amp; ")"</f>
        <v>#NAME?</v>
      </c>
    </row>
    <row r="15" spans="1:40" ht="15" customHeight="1">
      <c r="T15" s="5"/>
      <c r="U15" s="5"/>
      <c r="V15" s="5"/>
      <c r="W15" s="5"/>
      <c r="X15" s="5"/>
      <c r="Y15" s="5"/>
      <c r="Z15" s="5"/>
      <c r="AA15" s="5"/>
      <c r="AB15" s="5"/>
      <c r="AD15" s="2" t="str">
        <f>");"</f>
        <v>);</v>
      </c>
    </row>
    <row r="16" spans="1:40" ht="15" customHeight="1">
      <c r="T16" s="5"/>
      <c r="U16" s="5"/>
      <c r="V16" s="5"/>
      <c r="W16" s="5"/>
      <c r="X16" s="5"/>
      <c r="Y16" s="5"/>
      <c r="Z16" s="5"/>
      <c r="AA16" s="5"/>
      <c r="AB16" s="5"/>
    </row>
    <row r="17" spans="20:28" ht="15" customHeight="1">
      <c r="T17" s="5"/>
      <c r="U17" s="5"/>
      <c r="V17" s="5"/>
      <c r="W17" s="5"/>
      <c r="X17" s="5"/>
      <c r="Y17" s="5"/>
      <c r="Z17" s="5"/>
      <c r="AA17" s="5"/>
      <c r="AB17" s="5"/>
    </row>
    <row r="18" spans="20:28" ht="15" customHeight="1">
      <c r="T18" s="5"/>
      <c r="U18" s="5"/>
      <c r="V18" s="5"/>
      <c r="W18" s="5"/>
      <c r="X18" s="5"/>
      <c r="Y18" s="5"/>
      <c r="Z18" s="5"/>
      <c r="AA18" s="5"/>
      <c r="AB18" s="5"/>
    </row>
    <row r="19" spans="20:28" ht="15" customHeight="1">
      <c r="T19" s="5"/>
      <c r="U19" s="5"/>
      <c r="V19" s="5"/>
      <c r="W19" s="5"/>
      <c r="X19" s="5"/>
      <c r="Y19" s="5"/>
      <c r="Z19" s="5"/>
      <c r="AA19" s="5"/>
      <c r="AB19" s="5"/>
    </row>
    <row r="20" spans="20:28" ht="15" customHeight="1">
      <c r="T20" s="5"/>
      <c r="U20" s="5"/>
      <c r="V20" s="5"/>
      <c r="W20" s="5"/>
      <c r="X20" s="5"/>
      <c r="Y20" s="5"/>
      <c r="Z20" s="5"/>
      <c r="AA20" s="5"/>
      <c r="AB20" s="5"/>
    </row>
    <row r="21" spans="20:28" ht="15" customHeight="1">
      <c r="T21" s="5"/>
      <c r="U21" s="5"/>
      <c r="V21" s="5"/>
      <c r="W21" s="5"/>
      <c r="X21" s="5"/>
      <c r="Y21" s="5"/>
      <c r="Z21" s="5"/>
      <c r="AA21" s="5"/>
      <c r="AB21" s="5"/>
    </row>
    <row r="22" spans="20:28" ht="15" customHeight="1">
      <c r="T22" s="5"/>
      <c r="U22" s="5"/>
      <c r="V22" s="5"/>
      <c r="W22" s="5"/>
      <c r="X22" s="5"/>
      <c r="Y22" s="5"/>
      <c r="Z22" s="5"/>
      <c r="AA22" s="5"/>
      <c r="AB22" s="5"/>
    </row>
    <row r="23" spans="20:28" ht="15" customHeight="1">
      <c r="T23" s="5"/>
      <c r="U23" s="5"/>
      <c r="V23" s="5"/>
      <c r="W23" s="5"/>
      <c r="X23" s="5"/>
      <c r="Y23" s="5"/>
      <c r="Z23" s="5"/>
      <c r="AA23" s="5"/>
      <c r="AB23" s="5"/>
    </row>
    <row r="24" spans="20:28" ht="15" customHeight="1">
      <c r="T24" s="5"/>
      <c r="U24" s="5"/>
      <c r="V24" s="5"/>
      <c r="W24" s="5"/>
      <c r="X24" s="5"/>
      <c r="Y24" s="5"/>
      <c r="Z24" s="5"/>
      <c r="AA24" s="5"/>
      <c r="AB24" s="5"/>
    </row>
    <row r="25" spans="20:28" ht="15" customHeight="1">
      <c r="T25" s="5"/>
      <c r="U25" s="5"/>
      <c r="V25" s="5"/>
      <c r="W25" s="5"/>
      <c r="X25" s="5"/>
      <c r="Y25" s="5"/>
      <c r="Z25" s="5"/>
      <c r="AA25" s="5"/>
      <c r="AB25" s="5"/>
    </row>
    <row r="26" spans="20:28" ht="15" customHeight="1">
      <c r="T26" s="5"/>
      <c r="U26" s="5"/>
      <c r="V26" s="5"/>
      <c r="W26" s="5"/>
      <c r="X26" s="5"/>
      <c r="Y26" s="5"/>
      <c r="Z26" s="5"/>
      <c r="AA26" s="5"/>
      <c r="AB26" s="5"/>
    </row>
    <row r="27" spans="20:28" ht="15" customHeight="1">
      <c r="T27" s="5"/>
      <c r="U27" s="5"/>
      <c r="V27" s="5"/>
      <c r="W27" s="5"/>
      <c r="X27" s="5"/>
      <c r="Y27" s="5"/>
      <c r="Z27" s="5"/>
      <c r="AA27" s="5"/>
      <c r="AB27" s="5"/>
    </row>
    <row r="28" spans="20:28" ht="15" customHeight="1">
      <c r="T28" s="5"/>
      <c r="U28" s="5"/>
      <c r="V28" s="5"/>
      <c r="W28" s="5"/>
      <c r="X28" s="5"/>
      <c r="Y28" s="5"/>
      <c r="Z28" s="5"/>
      <c r="AA28" s="5"/>
      <c r="AB28" s="5"/>
    </row>
    <row r="29" spans="20:28" ht="15" customHeight="1">
      <c r="T29" s="5"/>
      <c r="U29" s="5"/>
      <c r="V29" s="5"/>
      <c r="W29" s="5"/>
      <c r="X29" s="5"/>
      <c r="Y29" s="5"/>
      <c r="Z29" s="5"/>
      <c r="AA29" s="5"/>
      <c r="AB29" s="5"/>
    </row>
    <row r="30" spans="20:28" ht="15" customHeight="1">
      <c r="T30" s="5"/>
      <c r="U30" s="5"/>
      <c r="V30" s="5"/>
      <c r="W30" s="5"/>
      <c r="X30" s="5"/>
      <c r="Y30" s="5"/>
      <c r="Z30" s="5"/>
      <c r="AA30" s="5"/>
      <c r="AB30" s="5"/>
    </row>
    <row r="31" spans="20:28" ht="15" customHeight="1">
      <c r="T31" s="5"/>
      <c r="U31" s="5"/>
      <c r="V31" s="5"/>
      <c r="W31" s="5"/>
      <c r="X31" s="5"/>
      <c r="Y31" s="5"/>
      <c r="Z31" s="5"/>
      <c r="AA31" s="5"/>
      <c r="AB31" s="5"/>
    </row>
    <row r="32" spans="20:28" ht="15" customHeight="1">
      <c r="T32" s="5"/>
      <c r="U32" s="5"/>
      <c r="V32" s="5"/>
      <c r="W32" s="5"/>
      <c r="X32" s="5"/>
      <c r="Y32" s="5"/>
      <c r="Z32" s="5"/>
      <c r="AA32" s="5"/>
      <c r="AB32" s="5"/>
    </row>
    <row r="33" spans="20:28" ht="15" customHeight="1">
      <c r="T33" s="5"/>
      <c r="U33" s="5"/>
      <c r="V33" s="5"/>
      <c r="W33" s="5"/>
      <c r="X33" s="5"/>
      <c r="Y33" s="5"/>
      <c r="Z33" s="5"/>
      <c r="AA33" s="5"/>
      <c r="AB33" s="5"/>
    </row>
    <row r="34" spans="20:28" ht="15" customHeight="1">
      <c r="T34" s="5"/>
      <c r="U34" s="5"/>
      <c r="V34" s="5"/>
      <c r="W34" s="5"/>
      <c r="X34" s="5"/>
      <c r="Y34" s="5"/>
      <c r="Z34" s="5"/>
      <c r="AA34" s="5"/>
      <c r="AB34" s="5"/>
    </row>
    <row r="35" spans="20:28" ht="15" customHeight="1">
      <c r="T35" s="5"/>
      <c r="U35" s="5"/>
      <c r="V35" s="5"/>
      <c r="W35" s="5"/>
      <c r="X35" s="5"/>
      <c r="Y35" s="5"/>
      <c r="Z35" s="5"/>
      <c r="AA35" s="5"/>
      <c r="AB35" s="5"/>
    </row>
  </sheetData>
  <mergeCells count="19">
    <mergeCell ref="A1:E3"/>
    <mergeCell ref="F1:I1"/>
    <mergeCell ref="P1:S1"/>
    <mergeCell ref="Z1:Z3"/>
    <mergeCell ref="AA1:AB3"/>
    <mergeCell ref="F2:I2"/>
    <mergeCell ref="P2:S2"/>
    <mergeCell ref="F3:I3"/>
    <mergeCell ref="P3:S3"/>
    <mergeCell ref="S5:AB6"/>
    <mergeCell ref="B6:E6"/>
    <mergeCell ref="F6:J6"/>
    <mergeCell ref="K6:L6"/>
    <mergeCell ref="A5:A6"/>
    <mergeCell ref="B5:J5"/>
    <mergeCell ref="K5:N5"/>
    <mergeCell ref="O5:O6"/>
    <mergeCell ref="P5:P6"/>
    <mergeCell ref="Q5:R6"/>
  </mergeCells>
  <phoneticPr fontId="1"/>
  <pageMargins left="0.39370078740157483" right="0.39370078740157483" top="0.78740157480314965" bottom="0.78740157480314965" header="0.51181102362204722" footer="0.51181102362204722"/>
  <pageSetup paperSize="9" orientation="landscape" horizontalDpi="300" verticalDpi="300" r:id="rId1"/>
  <headerFooter alignWithMargins="0">
    <oddHeader>&amp;L株式会社日本ブレーン&amp;R&amp;P／&amp;N</oddHeader>
    <oddFooter>&amp;L（社外秘）&amp;R印刷日：&amp;D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表紙 </vt:lpstr>
      <vt:lpstr>改版履歴</vt:lpstr>
      <vt:lpstr>テーブル定義一覧</vt:lpstr>
      <vt:lpstr>銘柄基本情報</vt:lpstr>
      <vt:lpstr>上場状況</vt:lpstr>
      <vt:lpstr>'表紙 '!Print_Area</vt:lpstr>
      <vt:lpstr>改版履歴!Print_Titles</vt:lpstr>
      <vt:lpstr>上場状況!Print_Titles</vt:lpstr>
      <vt:lpstr>銘柄基本情報!Print_Titles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chen_jun</dc:creator>
  <cp:lastModifiedBy>kindustry</cp:lastModifiedBy>
  <dcterms:created xsi:type="dcterms:W3CDTF">2015-06-05T18:19:34Z</dcterms:created>
  <dcterms:modified xsi:type="dcterms:W3CDTF">2025-10-12T11:36:07Z</dcterms:modified>
</cp:coreProperties>
</file>